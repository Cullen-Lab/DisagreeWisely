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Projections" sheetId="1" r:id="rId4"/>
    <sheet state="visible" name="Salary Breakdown" sheetId="2" r:id="rId5"/>
    <sheet state="visible" name="Financial Actuals" sheetId="3" r:id="rId6"/>
    <sheet state="hidden" name="Program Expense Itemize List" sheetId="4" r:id="rId7"/>
  </sheets>
  <definedNames/>
  <calcPr/>
  <extLst>
    <ext uri="GoogleSheetsCustomDataVersion2">
      <go:sheetsCustomData xmlns:go="http://customooxmlschemas.google.com/" r:id="rId8" roundtripDataChecksum="Fb0AlRLiTPwbJb5mUZyqj54V2qhk39et11rdGVQ2yz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0">
      <text>
        <t xml:space="preserve">======
ID#AAABavMIdoA
Chris Johnson    (2025-02-09 20:57:31)
These are events conducted by the organization</t>
      </text>
    </comment>
    <comment authorId="0" ref="H115">
      <text>
        <t xml:space="preserve">======
ID#AAABavMIdn8
Chris Johnson    (2025-02-09 20:57:31)
Does not include rental property</t>
      </text>
    </comment>
    <comment authorId="0" ref="H72">
      <text>
        <t xml:space="preserve">======
ID#AAABavMIdn4
Chris Johnson    (2025-02-09 20:57:31)
Officers, Directors/ Trustees, Key Employees
Please attach breakdown of titles &amp; compensation per position</t>
      </text>
    </comment>
    <comment authorId="0" ref="H68">
      <text>
        <t xml:space="preserve">======
ID#AAABavMIdnw
Chris Johnson    (2025-02-09 20:57:31)
Generally only 501(c)(8), 501(c)(9) and 501(c)(17) will have this</t>
      </text>
    </comment>
    <comment authorId="0" ref="H75">
      <text>
        <t xml:space="preserve">======
ID#AAABavMIdnY
Dee Hollinger    (2025-02-09 20:57:31)
Please attach breakdown of titles &amp; compensation per position</t>
      </text>
    </comment>
    <comment authorId="0" ref="H18">
      <text>
        <t xml:space="preserve">======
ID#AAABavMIdnU
Chris Johnson    (2025-02-09 20:57:31)
Example: For a youth sports program:
1) Player Participation Fees $50 x 100 kids
2) Summer Camp $150 x 30 kids</t>
      </text>
    </comment>
    <comment authorId="0" ref="H125">
      <text>
        <t xml:space="preserve">======
ID#AAABavMIdnQ
Dee Hollinger    (2025-02-09 20:57:31)
Non-Consumable: items or assets which can be reused or have longterm use such as desks, chairs, computers, workstations, software, kennels, equipment, etc.</t>
      </text>
    </comment>
    <comment authorId="0" ref="H121">
      <text>
        <t xml:space="preserve">======
ID#AAABavMIdnM
Chris Johnson    (2025-02-09 20:57:31)
This is the employer portion of Social Security &amp; Medicare Tax
typically estimated at 15%</t>
      </text>
    </comment>
    <comment authorId="0" ref="H114">
      <text>
        <t xml:space="preserve">======
ID#AAABavMIdm8
Chris Johnson    (2025-02-09 20:57:31)
Does not include rental property mortgage interest</t>
      </text>
    </comment>
    <comment authorId="0" ref="H119">
      <text>
        <t xml:space="preserve">======
ID#AAABavMIdm4
Chris Johnson    (2025-02-09 20:57:31)
Includes hardware, software, tech support</t>
      </text>
    </comment>
    <comment authorId="0" ref="H116">
      <text>
        <t xml:space="preserve">======
ID#AAABavMIdmo
Chris Johnson    (2025-02-09 20:57:31)
Such as dues paid to a National Chapter</t>
      </text>
    </comment>
    <comment authorId="0" ref="H118">
      <text>
        <t xml:space="preserve">======
ID#AAABavMIdnA
Chris Johnson    (2025-02-09 20:57:31)
Includes website hosting costs</t>
      </text>
    </comment>
    <comment authorId="0" ref="H71">
      <text>
        <t xml:space="preserve">======
ID#AAABavMIdmY
Chris Johnson    (2025-02-09 20:57:31)
Key Employees have decision-making capabilities-- typically management
Please attach breakdown of titles &amp; compensation per position</t>
      </text>
    </comment>
    <comment authorId="0" ref="H74">
      <text>
        <t xml:space="preserve">======
ID#AAABavMIdmg
Dee Hollinger    (2025-02-09 20:57:31)
Please attach breakdown of titles &amp; compensation per position</t>
      </text>
    </comment>
  </commentList>
  <extLst>
    <ext uri="GoogleSheetsCustomDataVersion2">
      <go:sheetsCustomData xmlns:go="http://customooxmlschemas.google.com/" r:id="rId1" roundtripDataSignature="AMtx7mi56n2hDMaLcT9Gwex2iw4nwmLre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======
ID#AAABavMIdms
Dee Hollinger    (2025-02-09 20:57:31)
Please attach breakdown of titles &amp; compensation per position</t>
      </text>
    </comment>
    <comment authorId="0" ref="B4">
      <text>
        <t xml:space="preserve">======
ID#AAABavMIdmQ
Chris Johnson    (2025-02-09 20:57:31)
Key Employees have decision-making capabilities-- typically management
Please attach breakdown of titles &amp; compensation per position</t>
      </text>
    </comment>
  </commentList>
  <extLst>
    <ext uri="GoogleSheetsCustomDataVersion2">
      <go:sheetsCustomData xmlns:go="http://customooxmlschemas.google.com/" r:id="rId1" roundtripDataSignature="AMtx7mjrZ05FfHLdNA9cvsWPafx0MSExG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21">
      <text>
        <t xml:space="preserve">======
ID#AAABavMIdn0
Chris Johnson    (2025-02-09 20:57:31)
This is the employer portion of Social Security &amp; Medicare Tax
typically estimated at 15%</t>
      </text>
    </comment>
    <comment authorId="0" ref="H68">
      <text>
        <t xml:space="preserve">======
ID#AAABavMIdns
Chris Johnson    (2025-02-09 20:57:31)
Generally only 501(c)(8), 501(c)(9) and 501(c)(17) will have this</t>
      </text>
    </comment>
    <comment authorId="0" ref="H75">
      <text>
        <t xml:space="preserve">======
ID#AAABavMIdno
Dee Hollinger    (2025-02-09 20:57:31)
Please attach breakdown of titles &amp; compensation per position</t>
      </text>
    </comment>
    <comment authorId="0" ref="H74">
      <text>
        <t xml:space="preserve">======
ID#AAABavMIdnk
Dee Hollinger    (2025-02-09 20:57:31)
Please attach breakdown of titles &amp; compensation per position</t>
      </text>
    </comment>
    <comment authorId="0" ref="H72">
      <text>
        <t xml:space="preserve">======
ID#AAABavMIdng
Chris Johnson    (2025-02-09 20:57:31)
Officers, Directors/ Trustees, Key Employees
Please attach breakdown of titles &amp; compensation per position</t>
      </text>
    </comment>
    <comment authorId="0" ref="H18">
      <text>
        <t xml:space="preserve">======
ID#AAABavMIdnc
Chris Johnson    (2025-02-09 20:57:31)
Example: For a youth sports program:
1) Player Participation Fees $50 x 100 kids
2) Summer Camp $150 x 30 kids</t>
      </text>
    </comment>
    <comment authorId="0" ref="H110">
      <text>
        <t xml:space="preserve">======
ID#AAABavMIdnI
Chris Johnson    (2025-02-09 20:57:31)
These are events conducted by the organization</t>
      </text>
    </comment>
    <comment authorId="0" ref="H116">
      <text>
        <t xml:space="preserve">======
ID#AAABavMIdnE
Chris Johnson    (2025-02-09 20:57:31)
Such as dues paid to a National Chapter</t>
      </text>
    </comment>
    <comment authorId="0" ref="H118">
      <text>
        <t xml:space="preserve">======
ID#AAABavMIdmw
Chris Johnson    (2025-02-09 20:57:31)
Includes website hosting costs</t>
      </text>
    </comment>
    <comment authorId="0" ref="H115">
      <text>
        <t xml:space="preserve">======
ID#AAABavMIdm0
Chris Johnson    (2025-02-09 20:57:31)
Does not include rental property</t>
      </text>
    </comment>
    <comment authorId="0" ref="H114">
      <text>
        <t xml:space="preserve">======
ID#AAABavMIdmk
Chris Johnson    (2025-02-09 20:57:31)
Does not include rental property mortgage interest</t>
      </text>
    </comment>
    <comment authorId="0" ref="H119">
      <text>
        <t xml:space="preserve">======
ID#AAABavMIdmc
Chris Johnson    (2025-02-09 20:57:31)
Includes hardware, software, tech support</t>
      </text>
    </comment>
    <comment authorId="0" ref="H71">
      <text>
        <t xml:space="preserve">======
ID#AAABavMIdmU
Chris Johnson    (2025-02-09 20:57:31)
Key Employees have decision-making capabilities-- typically management
Please attach breakdown of titles &amp; compensation per position</t>
      </text>
    </comment>
  </commentList>
  <extLst>
    <ext uri="GoogleSheetsCustomDataVersion2">
      <go:sheetsCustomData xmlns:go="http://customooxmlschemas.google.com/" r:id="rId1" roundtripDataSignature="AMtx7miCqEVITgNgVPZmynZL/HzTg5jeHw=="/>
    </ext>
  </extLst>
</comments>
</file>

<file path=xl/sharedStrings.xml><?xml version="1.0" encoding="utf-8"?>
<sst xmlns="http://schemas.openxmlformats.org/spreadsheetml/2006/main" count="420" uniqueCount="227">
  <si>
    <t>Page 13</t>
  </si>
  <si>
    <r>
      <rPr>
        <rFont val="Arial"/>
        <b/>
        <color theme="1"/>
        <sz val="12.0"/>
      </rPr>
      <t>A.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>STATEMENT OF REVENUES AND EXPENSES</t>
    </r>
  </si>
  <si>
    <t>Current Tax Year</t>
  </si>
  <si>
    <t>Proposed</t>
  </si>
  <si>
    <t>Actuals</t>
  </si>
  <si>
    <t>Present to</t>
  </si>
  <si>
    <t>To present</t>
  </si>
  <si>
    <t>Revenue</t>
  </si>
  <si>
    <t>Revenue for 1023 online</t>
  </si>
  <si>
    <t>Direct Contributions Revenue</t>
  </si>
  <si>
    <t xml:space="preserve">  Individual/Small business contributions</t>
  </si>
  <si>
    <t xml:space="preserve">  Corporate Contributions</t>
  </si>
  <si>
    <t>Subtotal Line 1</t>
  </si>
  <si>
    <t>Membership Dues</t>
  </si>
  <si>
    <t xml:space="preserve">  Membership Dues                               </t>
  </si>
  <si>
    <t>Investment Revenue</t>
  </si>
  <si>
    <t xml:space="preserve">  Interest-- Savings/Short-term Investments</t>
  </si>
  <si>
    <t>Unrelated Business Income</t>
  </si>
  <si>
    <t>Donated Goods &amp; Services Revenue</t>
  </si>
  <si>
    <t xml:space="preserve">  Gifts In-Kind </t>
  </si>
  <si>
    <t>Program Service Revenues</t>
  </si>
  <si>
    <t xml:space="preserve">  Program #1 Revenue (Sway for students and general public)</t>
  </si>
  <si>
    <t xml:space="preserve">  Program #2 Revenue (faculty training workshops)</t>
  </si>
  <si>
    <t xml:space="preserve">  Program #3 Revenue (empirical research studies)</t>
  </si>
  <si>
    <t xml:space="preserve">  Program #4 Revenue</t>
  </si>
  <si>
    <t xml:space="preserve">  Program #5 Revenue</t>
  </si>
  <si>
    <t xml:space="preserve">Fundraising Event Revenues </t>
  </si>
  <si>
    <t xml:space="preserve">  Fundraising Event #1 Gross Revenue</t>
  </si>
  <si>
    <t xml:space="preserve">  Fundraising Event #2 Gross Revenue</t>
  </si>
  <si>
    <t xml:space="preserve">  Fundraising Event #3 Gross Revenue</t>
  </si>
  <si>
    <t xml:space="preserve">  Fundraising Event #4 Gross Revenue</t>
  </si>
  <si>
    <t xml:space="preserve">  Fundraising Event #5 Gross Revenue</t>
  </si>
  <si>
    <t>Other Revenues</t>
  </si>
  <si>
    <t xml:space="preserve">  Non-Inventory Sales-- Gross</t>
  </si>
  <si>
    <t xml:space="preserve">  Inventory Sales-- Gross</t>
  </si>
  <si>
    <t>Subtotal Line 9</t>
  </si>
  <si>
    <t>Total Income/Revenue</t>
  </si>
  <si>
    <t>Expenses for 1023 online</t>
  </si>
  <si>
    <t>Expenses</t>
  </si>
  <si>
    <t>Fundraising Expenses</t>
  </si>
  <si>
    <t>Fundraising Event #1 Cash Prizes</t>
  </si>
  <si>
    <t>Fundraising Event #1 Noncash prizes</t>
  </si>
  <si>
    <t>Fundraising Event #1 Rent/Facility Costs</t>
  </si>
  <si>
    <t>Fundraising Event #1 Food &amp; Beverage</t>
  </si>
  <si>
    <t>Fundraising Event #1 Entertainment</t>
  </si>
  <si>
    <t>Fundraising Event #1 Other direct fundraiser costs</t>
  </si>
  <si>
    <t>Fundraising Event #2 Cash Prizes</t>
  </si>
  <si>
    <t>Fundraising Event #2 Noncash prizes</t>
  </si>
  <si>
    <t>Fundraising Event #2 Rent/Facility Costs</t>
  </si>
  <si>
    <t>Fundraising Event #2 Food &amp; Beverage</t>
  </si>
  <si>
    <t>Fundraising Event #2 Entertainment</t>
  </si>
  <si>
    <t>Fundraising Event #2 Other direct fundraiser costs</t>
  </si>
  <si>
    <t>Fundraising Event #3 Cash Prizes</t>
  </si>
  <si>
    <t>Fundraising Event #3 Noncash prizes</t>
  </si>
  <si>
    <t>Fundraising Event #3 Rent/Facility Costs</t>
  </si>
  <si>
    <t>Fundraising Event #3 Food &amp; Beverage</t>
  </si>
  <si>
    <t>Fundraising Event #3 Entertainment</t>
  </si>
  <si>
    <t>Fundraising Event #3 Other direct fundraiser costs</t>
  </si>
  <si>
    <t>Subtotal Line 14</t>
  </si>
  <si>
    <t>Grants, Awards &amp; Direct Assistance</t>
  </si>
  <si>
    <t xml:space="preserve">  Grants to other NPOs (in US)</t>
  </si>
  <si>
    <t xml:space="preserve">  Grants to other NPOs (outside US)</t>
  </si>
  <si>
    <t xml:space="preserve">  Grants &amp; Awards to Individuals (in US)</t>
  </si>
  <si>
    <t xml:space="preserve">  Grants &amp; Awards to Individuals (outside US)</t>
  </si>
  <si>
    <t xml:space="preserve">  Benevolent Assistance to Individuals </t>
  </si>
  <si>
    <t>Subtotal Line 15</t>
  </si>
  <si>
    <t xml:space="preserve">  Benefits Paid to/for Members</t>
  </si>
  <si>
    <t>Subtotal Line 16</t>
  </si>
  <si>
    <t>Salaries &amp; Related Expenses</t>
  </si>
  <si>
    <t xml:space="preserve">  Officers, Directors/Trustees, Key Employees Salaries</t>
  </si>
  <si>
    <t xml:space="preserve">  Employee Benefits (not pension)--O, D/T, KE</t>
  </si>
  <si>
    <t>Subtotal Line 17</t>
  </si>
  <si>
    <t xml:space="preserve">  Salaries &amp; Wages- Other</t>
  </si>
  <si>
    <t xml:space="preserve">  Employee Benefits (not pension)-- Other</t>
  </si>
  <si>
    <t>Subtotal Line 18</t>
  </si>
  <si>
    <t>Occupancy</t>
  </si>
  <si>
    <t xml:space="preserve">  Rent/Mortgage/Lease</t>
  </si>
  <si>
    <t xml:space="preserve">  Utilities</t>
  </si>
  <si>
    <t xml:space="preserve">  Insurance</t>
  </si>
  <si>
    <t xml:space="preserve">  Property Taxes</t>
  </si>
  <si>
    <t xml:space="preserve">  Mortgage Interest</t>
  </si>
  <si>
    <t xml:space="preserve">  Building Maintenance</t>
  </si>
  <si>
    <t>Subtotal Line 20</t>
  </si>
  <si>
    <t>Contract Services Expenses</t>
  </si>
  <si>
    <t xml:space="preserve">  Accounting Fees</t>
  </si>
  <si>
    <t xml:space="preserve">  Professional Fees- Other (includes FG fees)</t>
  </si>
  <si>
    <t xml:space="preserve">  Temporary Help- Contract Labor</t>
  </si>
  <si>
    <t xml:space="preserve">  Management Fees</t>
  </si>
  <si>
    <t xml:space="preserve">  Investment Management Fees</t>
  </si>
  <si>
    <t>Subtotal Line 22</t>
  </si>
  <si>
    <t xml:space="preserve">  Legal Fees</t>
  </si>
  <si>
    <t xml:space="preserve">  Lobbying Fees</t>
  </si>
  <si>
    <t>Office Expenses</t>
  </si>
  <si>
    <t xml:space="preserve">  Supplies</t>
  </si>
  <si>
    <t xml:space="preserve">  Telephone &amp; Telecommunications</t>
  </si>
  <si>
    <t xml:space="preserve">  Postage &amp; Shipping</t>
  </si>
  <si>
    <t xml:space="preserve">  Printing &amp; Copying</t>
  </si>
  <si>
    <t xml:space="preserve">  Books, Subscriptions, References</t>
  </si>
  <si>
    <t xml:space="preserve">  In-house Publications</t>
  </si>
  <si>
    <t xml:space="preserve">  Equipment Rental &amp; Maintenance</t>
  </si>
  <si>
    <t xml:space="preserve">  Licenses, Fees &amp; Dues (includes IRS &amp; State fees)</t>
  </si>
  <si>
    <t xml:space="preserve">  Bank Service Charges</t>
  </si>
  <si>
    <t>Travel  Expenses</t>
  </si>
  <si>
    <t xml:space="preserve">  Transportation, Mileage</t>
  </si>
  <si>
    <t xml:space="preserve">  Lodging</t>
  </si>
  <si>
    <t xml:space="preserve">  Meals,  Per diem</t>
  </si>
  <si>
    <t xml:space="preserve">  Company Vehicles Expenses</t>
  </si>
  <si>
    <t>Conferences, Conventions &amp; Meetings</t>
  </si>
  <si>
    <t xml:space="preserve">  Venue Rental &amp; Related Expenses </t>
  </si>
  <si>
    <t xml:space="preserve">  Speaker Honorariums</t>
  </si>
  <si>
    <t xml:space="preserve">  Meeting Materials</t>
  </si>
  <si>
    <t>Other Expenses</t>
  </si>
  <si>
    <t xml:space="preserve">  Interest- General</t>
  </si>
  <si>
    <t xml:space="preserve">  Insurance (non-employee or property related)</t>
  </si>
  <si>
    <t xml:space="preserve">  Dues to Affiliates </t>
  </si>
  <si>
    <t xml:space="preserve">  Staff Development &amp; Continuing Education</t>
  </si>
  <si>
    <t xml:space="preserve">  Advertising &amp; Promotion</t>
  </si>
  <si>
    <t xml:space="preserve">  Information Technology and Website </t>
  </si>
  <si>
    <t xml:space="preserve">  Depreciation, Depletion &amp; Amortization</t>
  </si>
  <si>
    <t xml:space="preserve">  Payroll Taxes</t>
  </si>
  <si>
    <t xml:space="preserve">  Taxes (other than property &amp; payroll)</t>
  </si>
  <si>
    <t xml:space="preserve">  Flowers &amp; Gifts/Volunteer Appreciation</t>
  </si>
  <si>
    <t>Program Expenses</t>
  </si>
  <si>
    <t xml:space="preserve">  Program #1 Expense consumable (provide a list)</t>
  </si>
  <si>
    <t xml:space="preserve">  Program #1 Expense non-consumable (costs for technical infrastructure to run Sway; includes server costs, AI costs, and performance tracking costs) </t>
  </si>
  <si>
    <t xml:space="preserve">  Program #2 Expense consumable (provide a list)</t>
  </si>
  <si>
    <t xml:space="preserve">  Program #2 Expense non-consumable (faculty training workshop costs, including venue, meeting materials, catering)</t>
  </si>
  <si>
    <t xml:space="preserve">  Program #3 Expense consumable (provide a list)</t>
  </si>
  <si>
    <t xml:space="preserve">  Program #3 Expense non-consumable (empirical studies; costs for experimental participants and technical infrastructure to run studies)</t>
  </si>
  <si>
    <t xml:space="preserve">  Program #4 Expense non-consumable (provide a list)</t>
  </si>
  <si>
    <t xml:space="preserve">  Program #4 Expense consumable (provide a list)</t>
  </si>
  <si>
    <t xml:space="preserve">  Program #5 Expense non-consumable (provide a list)</t>
  </si>
  <si>
    <t xml:space="preserve">  Program #5 Expense consumable (provide a list)</t>
  </si>
  <si>
    <t xml:space="preserve">      Non-Inventory Sales-- Cost of goods sold</t>
  </si>
  <si>
    <t xml:space="preserve">      Cost of Goods Sold</t>
  </si>
  <si>
    <t>Subtotal Line 23</t>
  </si>
  <si>
    <t>Total Expenses</t>
  </si>
  <si>
    <t>Page 14</t>
  </si>
  <si>
    <t>B. BALANCE SHEET</t>
  </si>
  <si>
    <t>Year end:</t>
  </si>
  <si>
    <t>ASSETS</t>
  </si>
  <si>
    <t>12/31/20YY</t>
  </si>
  <si>
    <t>Checking (Cash)</t>
  </si>
  <si>
    <t>Cash in Bank- Operating</t>
  </si>
  <si>
    <t>Savings &amp; Short Term Investments</t>
  </si>
  <si>
    <t>Accounts Receivable</t>
  </si>
  <si>
    <t>Other Receivables</t>
  </si>
  <si>
    <t>Receivables from O, D/T, KE</t>
  </si>
  <si>
    <t>Notes &amp; Loans Receivable</t>
  </si>
  <si>
    <t>Other Assets</t>
  </si>
  <si>
    <t>Inventories for Sale</t>
  </si>
  <si>
    <t>Inventories for Use</t>
  </si>
  <si>
    <t>Investments</t>
  </si>
  <si>
    <t>Marketable Securities</t>
  </si>
  <si>
    <t>Investments-- Other</t>
  </si>
  <si>
    <t>Fixed Operating Assets</t>
  </si>
  <si>
    <t>Land- Operating</t>
  </si>
  <si>
    <t>Land Improvements</t>
  </si>
  <si>
    <t xml:space="preserve">         Accumulated Depreciation- Land Imp</t>
  </si>
  <si>
    <t>Buildings- Operating</t>
  </si>
  <si>
    <t>Accumulated Depreciation- Bldg Op</t>
  </si>
  <si>
    <t>Leasehold Improvements</t>
  </si>
  <si>
    <t>Accumulated Depreciation- Leasehold</t>
  </si>
  <si>
    <t>Furniture, Fixtures &amp; Equipment</t>
  </si>
  <si>
    <t>Accumulated Depreciation- FFE</t>
  </si>
  <si>
    <t>Vehicles</t>
  </si>
  <si>
    <t>Accumulated Depreciation- Vehicles</t>
  </si>
  <si>
    <t>Construction in Progress</t>
  </si>
  <si>
    <t>Total Assets</t>
  </si>
  <si>
    <t>LIABILITIES</t>
  </si>
  <si>
    <t>Payables</t>
  </si>
  <si>
    <t>Accounts Payable</t>
  </si>
  <si>
    <t>Accrued Liabilities</t>
  </si>
  <si>
    <t>Accrued Payroll</t>
  </si>
  <si>
    <t>Accrued Paid Leave</t>
  </si>
  <si>
    <t>Accrued Payroll Taxes</t>
  </si>
  <si>
    <t>Accrued Sales Taxes</t>
  </si>
  <si>
    <t>Accrued Expenses-Other</t>
  </si>
  <si>
    <t>Short-Term Liabilities</t>
  </si>
  <si>
    <t>Payables to O, D/T, KE</t>
  </si>
  <si>
    <t>Short-Term Notes &amp; Loans Payable-Other</t>
  </si>
  <si>
    <t>Long-Term Liabilities</t>
  </si>
  <si>
    <t>LT Payables to O, D/T, KE</t>
  </si>
  <si>
    <t>Secured Mortgages &amp; Notes Payable</t>
  </si>
  <si>
    <t>Capital Leases</t>
  </si>
  <si>
    <t>Unsecured Notes &amp; Loans Payable</t>
  </si>
  <si>
    <t>Total Liabilities</t>
  </si>
  <si>
    <t>EQUITY/ FUND BALANCES</t>
  </si>
  <si>
    <t>Unrestricted Net Assets</t>
  </si>
  <si>
    <t>Board Designated Net Assets</t>
  </si>
  <si>
    <t>Board Designated Quasi-Endowment</t>
  </si>
  <si>
    <t>Fixed Operating Net Assets</t>
  </si>
  <si>
    <t>Temporarily Restricted Net Assets</t>
  </si>
  <si>
    <t>Use-Restricted Net Assets</t>
  </si>
  <si>
    <t>Time-Restricted Net Assets</t>
  </si>
  <si>
    <t>Permanently Restricted Net Assets</t>
  </si>
  <si>
    <t>Endowment Net Assets</t>
  </si>
  <si>
    <t>Total Liabilities and Net Assets/Fund Balances</t>
  </si>
  <si>
    <t>Salary Breakdown - totals should transfer to Chart of Accounts lines 51100 &amp; 51200 respectively</t>
  </si>
  <si>
    <t>Current Tax Year 1/1/2025 - Present</t>
  </si>
  <si>
    <t>Proposed Present - 12/31/2025</t>
  </si>
  <si>
    <t>Proposed 1/1/2026 - 12/31/2026</t>
  </si>
  <si>
    <t>Proposed 1/1/2027 - 12/31/2027</t>
  </si>
  <si>
    <t>Actuals   1/1/2024 - 12/31/2024</t>
  </si>
  <si>
    <t>Line 17</t>
  </si>
  <si>
    <t xml:space="preserve">  Officers, Directors/Trustees, Key Employees Salaries (51100)</t>
  </si>
  <si>
    <t>Simon Cullen, President/Scientist</t>
  </si>
  <si>
    <t>Nicholas DiBella, Treasurer/Secretary/Scientist</t>
  </si>
  <si>
    <t>Director of Technical Programs</t>
  </si>
  <si>
    <t>Research Scientist</t>
  </si>
  <si>
    <t>Total carries to Line 51100 of Chart of Accounts</t>
  </si>
  <si>
    <t>Line 18</t>
  </si>
  <si>
    <t xml:space="preserve">  Salaries &amp; Wages- Other (51200)</t>
  </si>
  <si>
    <t>Job Title /Name of Person Hired, (if known)</t>
  </si>
  <si>
    <t>Total carries to Line 51200 of Chart of Accounts</t>
  </si>
  <si>
    <r>
      <rPr>
        <rFont val="Arial"/>
        <b/>
        <color theme="1"/>
        <sz val="12.0"/>
      </rPr>
      <t>A.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>STATEMENT OF REVENUES AND EXPENSES</t>
    </r>
  </si>
  <si>
    <t xml:space="preserve">  Membership Dues</t>
  </si>
  <si>
    <t xml:space="preserve">  Program #1 Revenue</t>
  </si>
  <si>
    <t xml:space="preserve">  Program #2 Revenue</t>
  </si>
  <si>
    <t xml:space="preserve">  Program #3 Revenue</t>
  </si>
  <si>
    <t xml:space="preserve">  Professional Fees- Other</t>
  </si>
  <si>
    <t xml:space="preserve">  Licenses, Fees &amp; Dues</t>
  </si>
  <si>
    <t xml:space="preserve">  Program #1 Expense non-consumable (provide a list)</t>
  </si>
  <si>
    <t xml:space="preserve">  Program #2 Expense non-consumable (provide a list)</t>
  </si>
  <si>
    <t xml:space="preserve">  Program #3 Expense non-consumable (provide a list)</t>
  </si>
  <si>
    <t>Expense Item</t>
  </si>
  <si>
    <t>Estimated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</si>
</sst>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&quot;$&quot;#,##0"/>
    <numFmt numFmtId="166" formatCode="_(&quot;$&quot;* #,##0.0000_);_(&quot;$&quot;* \(#,##0.0000\);_(&quot;$&quot;* &quot;-&quot;??_);_(@_)"/>
    <numFmt numFmtId="167" formatCode="&quot;$&quot;#,##0.00_);\(&quot;$&quot;#,##0.00\)"/>
    <numFmt numFmtId="168" formatCode="&quot;$&quot;#,##0_);\(&quot;$&quot;#,##0\)"/>
    <numFmt numFmtId="169" formatCode="_(&quot;$&quot;* #,##0_);_(&quot;$&quot;* \(#,##0\);_(&quot;$&quot;* &quot;-&quot;??_);_(@_)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2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Trebuchet MS"/>
    </font>
    <font>
      <b/>
      <u/>
      <sz val="10.0"/>
      <color theme="1"/>
      <name val="Arial"/>
    </font>
    <font>
      <b/>
      <sz val="10.0"/>
      <color theme="1"/>
      <name val="Trebuchet MS"/>
    </font>
    <font>
      <b/>
      <sz val="11.0"/>
      <color theme="1"/>
      <name val="Arial"/>
    </font>
    <font/>
    <font>
      <b/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DE9D9"/>
        <bgColor rgb="FFFDE9D9"/>
      </patternFill>
    </fill>
  </fills>
  <borders count="33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2" fontId="1" numFmtId="0" xfId="0" applyAlignment="1" applyBorder="1" applyFont="1">
      <alignment horizontal="left"/>
    </xf>
    <xf borderId="1" fillId="2" fontId="2" numFmtId="0" xfId="0" applyBorder="1" applyFont="1"/>
    <xf borderId="0" fillId="0" fontId="1" numFmtId="0" xfId="0" applyAlignment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2" fillId="0" fontId="1" numFmtId="14" xfId="0" applyAlignment="1" applyBorder="1" applyFont="1" applyNumberFormat="1">
      <alignment horizontal="center"/>
    </xf>
    <xf borderId="3" fillId="0" fontId="1" numFmtId="14" xfId="0" applyAlignment="1" applyBorder="1" applyFont="1" applyNumberFormat="1">
      <alignment horizontal="center"/>
    </xf>
    <xf borderId="5" fillId="0" fontId="1" numFmtId="1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6" fillId="0" fontId="1" numFmtId="14" xfId="0" applyAlignment="1" applyBorder="1" applyFont="1" applyNumberFormat="1">
      <alignment horizontal="center"/>
    </xf>
    <xf borderId="7" fillId="0" fontId="1" numFmtId="14" xfId="0" applyAlignment="1" applyBorder="1" applyFont="1" applyNumberFormat="1">
      <alignment horizontal="center"/>
    </xf>
    <xf borderId="8" fillId="0" fontId="1" numFmtId="14" xfId="0" applyAlignment="1" applyBorder="1" applyFont="1" applyNumberFormat="1">
      <alignment horizontal="center"/>
    </xf>
    <xf borderId="0" fillId="0" fontId="5" numFmtId="0" xfId="0" applyAlignment="1" applyFont="1">
      <alignment horizontal="left"/>
    </xf>
    <xf borderId="9" fillId="0" fontId="1" numFmtId="0" xfId="0" applyBorder="1" applyFont="1"/>
    <xf borderId="10" fillId="0" fontId="1" numFmtId="0" xfId="0" applyBorder="1" applyFont="1"/>
    <xf borderId="3" fillId="0" fontId="1" numFmtId="0" xfId="0" applyBorder="1" applyFont="1"/>
    <xf borderId="11" fillId="0" fontId="4" numFmtId="0" xfId="0" applyAlignment="1" applyBorder="1" applyFont="1">
      <alignment horizontal="left"/>
    </xf>
    <xf borderId="4" fillId="0" fontId="4" numFmtId="0" xfId="0" applyBorder="1" applyFont="1"/>
    <xf borderId="0" fillId="0" fontId="4" numFmtId="0" xfId="0" applyFont="1"/>
    <xf borderId="11" fillId="0" fontId="1" numFmtId="164" xfId="0" applyBorder="1" applyFont="1" applyNumberFormat="1"/>
    <xf borderId="11" fillId="0" fontId="1" numFmtId="164" xfId="0" applyAlignment="1" applyBorder="1" applyFont="1" applyNumberFormat="1">
      <alignment readingOrder="0"/>
    </xf>
    <xf borderId="0" fillId="0" fontId="1" numFmtId="164" xfId="0" applyFont="1" applyNumberFormat="1"/>
    <xf borderId="11" fillId="0" fontId="1" numFmtId="0" xfId="0" applyBorder="1" applyFont="1"/>
    <xf borderId="4" fillId="0" fontId="1" numFmtId="0" xfId="0" applyBorder="1" applyFont="1"/>
    <xf borderId="11" fillId="0" fontId="1" numFmtId="165" xfId="0" applyAlignment="1" applyBorder="1" applyFont="1" applyNumberFormat="1">
      <alignment readingOrder="0"/>
    </xf>
    <xf borderId="4" fillId="0" fontId="4" numFmtId="0" xfId="0" applyAlignment="1" applyBorder="1" applyFont="1">
      <alignment horizontal="right"/>
    </xf>
    <xf borderId="11" fillId="0" fontId="4" numFmtId="165" xfId="0" applyBorder="1" applyFont="1" applyNumberFormat="1"/>
    <xf borderId="11" fillId="0" fontId="4" numFmtId="165" xfId="0" applyAlignment="1" applyBorder="1" applyFont="1" applyNumberFormat="1">
      <alignment readingOrder="0"/>
    </xf>
    <xf borderId="11" fillId="0" fontId="1" numFmtId="165" xfId="0" applyBorder="1" applyFont="1" applyNumberFormat="1"/>
    <xf borderId="12" fillId="0" fontId="1" numFmtId="0" xfId="0" applyBorder="1" applyFont="1"/>
    <xf borderId="3" fillId="0" fontId="4" numFmtId="165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6" numFmtId="0" xfId="0" applyAlignment="1" applyFont="1">
      <alignment horizontal="center"/>
    </xf>
    <xf borderId="11" fillId="0" fontId="6" numFmtId="0" xfId="0" applyBorder="1" applyFont="1"/>
    <xf borderId="4" fillId="0" fontId="6" numFmtId="0" xfId="0" applyBorder="1" applyFont="1"/>
    <xf borderId="0" fillId="0" fontId="6" numFmtId="0" xfId="0" applyFont="1"/>
    <xf borderId="12" fillId="0" fontId="4" numFmtId="0" xfId="0" applyAlignment="1" applyBorder="1" applyFont="1">
      <alignment horizontal="right"/>
    </xf>
    <xf borderId="3" fillId="0" fontId="4" numFmtId="165" xfId="0" applyBorder="1" applyFont="1" applyNumberFormat="1"/>
    <xf borderId="13" fillId="0" fontId="1" numFmtId="0" xfId="0" applyBorder="1" applyFont="1"/>
    <xf borderId="13" fillId="0" fontId="4" numFmtId="0" xfId="0" applyBorder="1" applyFont="1"/>
    <xf borderId="14" fillId="0" fontId="1" numFmtId="0" xfId="0" applyBorder="1" applyFont="1"/>
    <xf borderId="13" fillId="0" fontId="1" numFmtId="165" xfId="0" applyBorder="1" applyFont="1" applyNumberFormat="1"/>
    <xf borderId="0" fillId="0" fontId="1" numFmtId="165" xfId="0" applyFont="1" applyNumberFormat="1"/>
    <xf borderId="0" fillId="0" fontId="7" numFmtId="0" xfId="0" applyFont="1"/>
    <xf borderId="11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left" vertical="top"/>
    </xf>
    <xf borderId="3" fillId="0" fontId="1" numFmtId="165" xfId="0" applyBorder="1" applyFont="1" applyNumberFormat="1"/>
    <xf borderId="3" fillId="0" fontId="1" numFmtId="165" xfId="0" applyAlignment="1" applyBorder="1" applyFont="1" applyNumberFormat="1">
      <alignment readingOrder="0"/>
    </xf>
    <xf borderId="0" fillId="0" fontId="8" numFmtId="0" xfId="0" applyAlignment="1" applyFont="1">
      <alignment horizontal="center"/>
    </xf>
    <xf borderId="15" fillId="0" fontId="8" numFmtId="0" xfId="0" applyBorder="1" applyFont="1"/>
    <xf borderId="4" fillId="0" fontId="1" numFmtId="0" xfId="0" applyAlignment="1" applyBorder="1" applyFont="1">
      <alignment shrinkToFit="0" wrapText="1"/>
    </xf>
    <xf borderId="4" fillId="0" fontId="4" numFmtId="0" xfId="0" applyAlignment="1" applyBorder="1" applyFont="1">
      <alignment horizontal="right" shrinkToFit="0" wrapText="1"/>
    </xf>
    <xf borderId="16" fillId="3" fontId="1" numFmtId="0" xfId="0" applyBorder="1" applyFill="1" applyFont="1"/>
    <xf borderId="4" fillId="0" fontId="1" numFmtId="0" xfId="0" applyAlignment="1" applyBorder="1" applyFont="1">
      <alignment readingOrder="0" shrinkToFit="0" wrapText="1"/>
    </xf>
    <xf borderId="17" fillId="0" fontId="1" numFmtId="0" xfId="0" applyBorder="1" applyFont="1"/>
    <xf borderId="0" fillId="0" fontId="1" numFmtId="166" xfId="0" applyFont="1" applyNumberFormat="1"/>
    <xf borderId="18" fillId="2" fontId="9" numFmtId="166" xfId="0" applyBorder="1" applyFont="1" applyNumberFormat="1"/>
    <xf borderId="19" fillId="0" fontId="10" numFmtId="0" xfId="0" applyBorder="1" applyFont="1"/>
    <xf borderId="20" fillId="0" fontId="10" numFmtId="0" xfId="0" applyBorder="1" applyFont="1"/>
    <xf borderId="21" fillId="0" fontId="1" numFmtId="0" xfId="0" applyBorder="1" applyFont="1"/>
    <xf borderId="5" fillId="0" fontId="1" numFmtId="0" xfId="0" applyBorder="1" applyFont="1"/>
    <xf borderId="2" fillId="0" fontId="1" numFmtId="0" xfId="0" applyAlignment="1" applyBorder="1" applyFont="1">
      <alignment horizontal="center"/>
    </xf>
    <xf borderId="7" fillId="0" fontId="4" numFmtId="0" xfId="0" applyBorder="1" applyFont="1"/>
    <xf borderId="15" fillId="0" fontId="1" numFmtId="0" xfId="0" applyBorder="1" applyFont="1"/>
    <xf borderId="4" fillId="0" fontId="4" numFmtId="14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11" fillId="0" fontId="1" numFmtId="167" xfId="0" applyBorder="1" applyFont="1" applyNumberFormat="1"/>
    <xf borderId="11" fillId="0" fontId="1" numFmtId="168" xfId="0" applyBorder="1" applyFont="1" applyNumberFormat="1"/>
    <xf borderId="9" fillId="0" fontId="4" numFmtId="0" xfId="0" applyAlignment="1" applyBorder="1" applyFont="1">
      <alignment horizontal="center"/>
    </xf>
    <xf borderId="11" fillId="0" fontId="4" numFmtId="168" xfId="0" applyBorder="1" applyFont="1" applyNumberFormat="1"/>
    <xf borderId="4" fillId="0" fontId="4" numFmtId="0" xfId="0" applyAlignment="1" applyBorder="1" applyFont="1">
      <alignment horizontal="left"/>
    </xf>
    <xf borderId="0" fillId="0" fontId="4" numFmtId="0" xfId="0" applyAlignment="1" applyFont="1">
      <alignment horizontal="left"/>
    </xf>
    <xf borderId="11" fillId="0" fontId="1" numFmtId="168" xfId="0" applyAlignment="1" applyBorder="1" applyFont="1" applyNumberFormat="1">
      <alignment readingOrder="0"/>
    </xf>
    <xf borderId="4" fillId="0" fontId="1" numFmtId="0" xfId="0" applyAlignment="1" applyBorder="1" applyFont="1">
      <alignment horizontal="left"/>
    </xf>
    <xf borderId="11" fillId="0" fontId="4" numFmtId="0" xfId="0" applyBorder="1" applyFont="1"/>
    <xf borderId="11" fillId="0" fontId="11" numFmtId="0" xfId="0" applyBorder="1" applyFont="1"/>
    <xf borderId="11" fillId="0" fontId="6" numFmtId="168" xfId="0" applyBorder="1" applyFont="1" applyNumberFormat="1"/>
    <xf borderId="22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center"/>
    </xf>
    <xf borderId="22" fillId="0" fontId="4" numFmtId="0" xfId="0" applyAlignment="1" applyBorder="1" applyFont="1">
      <alignment horizontal="left"/>
    </xf>
    <xf borderId="23" fillId="0" fontId="4" numFmtId="0" xfId="0" applyAlignment="1" applyBorder="1" applyFont="1">
      <alignment horizontal="center" shrinkToFit="0" wrapText="1"/>
    </xf>
    <xf borderId="24" fillId="0" fontId="10" numFmtId="0" xfId="0" applyBorder="1" applyFont="1"/>
    <xf borderId="25" fillId="0" fontId="4" numFmtId="0" xfId="0" applyAlignment="1" applyBorder="1" applyFont="1">
      <alignment horizontal="center" shrinkToFit="0" wrapText="1"/>
    </xf>
    <xf borderId="26" fillId="0" fontId="4" numFmtId="0" xfId="0" applyAlignment="1" applyBorder="1" applyFont="1">
      <alignment horizontal="center" shrinkToFit="0" wrapText="1"/>
    </xf>
    <xf borderId="27" fillId="0" fontId="1" numFmtId="0" xfId="0" applyBorder="1" applyFont="1"/>
    <xf borderId="28" fillId="0" fontId="1" numFmtId="0" xfId="0" applyBorder="1" applyFont="1"/>
    <xf borderId="6" fillId="0" fontId="1" numFmtId="168" xfId="0" applyBorder="1" applyFont="1" applyNumberFormat="1"/>
    <xf borderId="7" fillId="0" fontId="1" numFmtId="168" xfId="0" applyBorder="1" applyFont="1" applyNumberFormat="1"/>
    <xf borderId="6" fillId="0" fontId="1" numFmtId="0" xfId="0" applyAlignment="1" applyBorder="1" applyFont="1">
      <alignment readingOrder="0"/>
    </xf>
    <xf borderId="6" fillId="0" fontId="1" numFmtId="168" xfId="0" applyAlignment="1" applyBorder="1" applyFont="1" applyNumberFormat="1">
      <alignment readingOrder="0"/>
    </xf>
    <xf borderId="7" fillId="0" fontId="1" numFmtId="168" xfId="0" applyAlignment="1" applyBorder="1" applyFont="1" applyNumberFormat="1">
      <alignment readingOrder="0"/>
    </xf>
    <xf borderId="22" fillId="0" fontId="1" numFmtId="0" xfId="0" applyAlignment="1" applyBorder="1" applyFont="1">
      <alignment readingOrder="0"/>
    </xf>
    <xf borderId="22" fillId="0" fontId="1" numFmtId="168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9" fillId="0" fontId="1" numFmtId="168" xfId="0" applyAlignment="1" applyBorder="1" applyFont="1" applyNumberFormat="1">
      <alignment readingOrder="0"/>
    </xf>
    <xf borderId="10" fillId="0" fontId="1" numFmtId="168" xfId="0" applyAlignment="1" applyBorder="1" applyFont="1" applyNumberFormat="1">
      <alignment readingOrder="0"/>
    </xf>
    <xf borderId="10" fillId="0" fontId="1" numFmtId="168" xfId="0" applyBorder="1" applyFont="1" applyNumberFormat="1"/>
    <xf borderId="9" fillId="0" fontId="1" numFmtId="168" xfId="0" applyBorder="1" applyFont="1" applyNumberFormat="1"/>
    <xf borderId="29" fillId="0" fontId="4" numFmtId="0" xfId="0" applyBorder="1" applyFont="1"/>
    <xf borderId="30" fillId="0" fontId="4" numFmtId="0" xfId="0" applyBorder="1" applyFont="1"/>
    <xf borderId="31" fillId="0" fontId="4" numFmtId="168" xfId="0" applyBorder="1" applyFont="1" applyNumberFormat="1"/>
    <xf borderId="26" fillId="0" fontId="4" numFmtId="168" xfId="0" applyBorder="1" applyFont="1" applyNumberFormat="1"/>
    <xf borderId="6" fillId="0" fontId="1" numFmtId="0" xfId="0" applyBorder="1" applyFont="1"/>
    <xf borderId="22" fillId="0" fontId="1" numFmtId="0" xfId="0" applyBorder="1" applyFont="1"/>
    <xf borderId="22" fillId="0" fontId="1" numFmtId="168" xfId="0" applyBorder="1" applyFont="1" applyNumberFormat="1"/>
    <xf borderId="30" fillId="0" fontId="4" numFmtId="168" xfId="0" applyBorder="1" applyFont="1" applyNumberFormat="1"/>
    <xf borderId="32" fillId="0" fontId="4" numFmtId="168" xfId="0" applyBorder="1" applyFont="1" applyNumberFormat="1"/>
    <xf borderId="0" fillId="0" fontId="1" numFmtId="169" xfId="0" applyFont="1" applyNumberFormat="1"/>
    <xf borderId="11" fillId="0" fontId="4" numFmtId="164" xfId="0" applyBorder="1" applyFont="1" applyNumberFormat="1"/>
    <xf borderId="3" fillId="0" fontId="4" numFmtId="164" xfId="0" applyBorder="1" applyFont="1" applyNumberFormat="1"/>
    <xf borderId="13" fillId="0" fontId="1" numFmtId="164" xfId="0" applyBorder="1" applyFont="1" applyNumberFormat="1"/>
    <xf borderId="3" fillId="0" fontId="1" numFmtId="164" xfId="0" applyBorder="1" applyFont="1" applyNumberFormat="1"/>
    <xf borderId="11" fillId="0" fontId="4" numFmtId="167" xfId="0" applyBorder="1" applyFont="1" applyNumberFormat="1"/>
    <xf borderId="11" fillId="0" fontId="6" numFmtId="167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hidden="1" min="1" max="1" width="9.25"/>
    <col customWidth="1" hidden="1" min="2" max="5" width="10.25"/>
    <col customWidth="1" min="6" max="6" width="7.75"/>
    <col customWidth="1" min="7" max="7" width="6.75"/>
    <col customWidth="1" min="8" max="8" width="46.0"/>
    <col customWidth="1" min="9" max="9" width="2.0"/>
    <col customWidth="1" min="10" max="10" width="14.75"/>
    <col customWidth="1" min="11" max="11" width="11.25"/>
    <col customWidth="1" min="12" max="12" width="10.75"/>
    <col customWidth="1" min="13" max="14" width="11.25"/>
    <col customWidth="1" min="15" max="26" width="9.25"/>
  </cols>
  <sheetData>
    <row r="1" ht="12.0" customHeight="1">
      <c r="A1" s="1"/>
      <c r="B1" s="1"/>
      <c r="C1" s="1"/>
      <c r="D1" s="1"/>
      <c r="E1" s="1"/>
      <c r="F1" s="2"/>
      <c r="G1" s="3"/>
      <c r="H1" s="4" t="s">
        <v>0</v>
      </c>
      <c r="I1" s="3"/>
      <c r="J1" s="5" t="s">
        <v>1</v>
      </c>
      <c r="K1" s="5"/>
      <c r="L1" s="5"/>
      <c r="M1" s="5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1"/>
      <c r="F2" s="6"/>
      <c r="G2" s="1"/>
      <c r="H2" s="1"/>
      <c r="I2" s="1"/>
      <c r="J2" s="7" t="s">
        <v>2</v>
      </c>
      <c r="K2" s="8" t="s">
        <v>3</v>
      </c>
      <c r="L2" s="9" t="s">
        <v>3</v>
      </c>
      <c r="M2" s="9" t="s">
        <v>3</v>
      </c>
      <c r="N2" s="9" t="s">
        <v>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6"/>
      <c r="G3" s="1"/>
      <c r="H3" s="1"/>
      <c r="I3" s="1"/>
      <c r="J3" s="10">
        <v>45658.0</v>
      </c>
      <c r="K3" s="11" t="s">
        <v>5</v>
      </c>
      <c r="L3" s="12">
        <v>46023.0</v>
      </c>
      <c r="M3" s="12">
        <v>46388.0</v>
      </c>
      <c r="N3" s="12">
        <v>45292.0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6"/>
      <c r="G4" s="13"/>
      <c r="H4" s="13"/>
      <c r="I4" s="1"/>
      <c r="J4" s="14" t="s">
        <v>6</v>
      </c>
      <c r="K4" s="15">
        <v>46022.0</v>
      </c>
      <c r="L4" s="12">
        <v>46387.0</v>
      </c>
      <c r="M4" s="16">
        <v>46752.0</v>
      </c>
      <c r="N4" s="16">
        <v>45657.0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6"/>
      <c r="G5" s="17"/>
      <c r="H5" s="17" t="s">
        <v>7</v>
      </c>
      <c r="I5" s="1"/>
      <c r="J5" s="18"/>
      <c r="K5" s="19"/>
      <c r="L5" s="20"/>
      <c r="M5" s="20"/>
      <c r="N5" s="2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 t="s">
        <v>8</v>
      </c>
      <c r="C6" s="1"/>
      <c r="D6" s="1"/>
      <c r="E6" s="1"/>
      <c r="F6" s="13"/>
      <c r="G6" s="21">
        <v>40000.0</v>
      </c>
      <c r="H6" s="22" t="s">
        <v>9</v>
      </c>
      <c r="I6" s="23"/>
      <c r="J6" s="24"/>
      <c r="K6" s="24"/>
      <c r="L6" s="24"/>
      <c r="M6" s="24"/>
      <c r="N6" s="2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>
        <v>1.0</v>
      </c>
      <c r="B7" s="26">
        <f>J7+J8</f>
        <v>20000</v>
      </c>
      <c r="C7" s="26" t="str">
        <f>#REF!+#REF!</f>
        <v>#REF!</v>
      </c>
      <c r="D7" s="26">
        <f t="shared" ref="D7:E7" si="1">K7+K8</f>
        <v>380000</v>
      </c>
      <c r="E7" s="26">
        <f t="shared" si="1"/>
        <v>750000</v>
      </c>
      <c r="F7" s="6">
        <v>1.0</v>
      </c>
      <c r="G7" s="27">
        <v>40100.0</v>
      </c>
      <c r="H7" s="28" t="s">
        <v>10</v>
      </c>
      <c r="I7" s="1"/>
      <c r="J7" s="29">
        <v>20000.0</v>
      </c>
      <c r="K7" s="29">
        <v>0.0</v>
      </c>
      <c r="L7" s="29">
        <v>50000.0</v>
      </c>
      <c r="M7" s="29">
        <v>100000.0</v>
      </c>
      <c r="N7" s="2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>
        <v>2.0</v>
      </c>
      <c r="B8" s="26">
        <f>J11</f>
        <v>0</v>
      </c>
      <c r="C8" s="26" t="str">
        <f t="shared" ref="C8:C9" si="3">#REF!</f>
        <v>#REF!</v>
      </c>
      <c r="D8" s="26">
        <f t="shared" ref="D8:E8" si="2">K11</f>
        <v>0</v>
      </c>
      <c r="E8" s="26">
        <f t="shared" si="2"/>
        <v>0</v>
      </c>
      <c r="F8" s="6">
        <v>1.0</v>
      </c>
      <c r="G8" s="27">
        <v>40200.0</v>
      </c>
      <c r="H8" s="28" t="s">
        <v>11</v>
      </c>
      <c r="I8" s="1"/>
      <c r="J8" s="29">
        <v>0.0</v>
      </c>
      <c r="K8" s="29">
        <v>380000.0</v>
      </c>
      <c r="L8" s="29">
        <v>700000.0</v>
      </c>
      <c r="M8" s="29">
        <v>1000000.0</v>
      </c>
      <c r="N8" s="2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>
        <v>3.0</v>
      </c>
      <c r="B9" s="26">
        <f>J13</f>
        <v>0</v>
      </c>
      <c r="C9" s="26" t="str">
        <f t="shared" si="3"/>
        <v>#REF!</v>
      </c>
      <c r="D9" s="26">
        <f t="shared" ref="D9:E9" si="4">K13</f>
        <v>2650</v>
      </c>
      <c r="E9" s="26">
        <f t="shared" si="4"/>
        <v>9800</v>
      </c>
      <c r="F9" s="6"/>
      <c r="G9" s="27"/>
      <c r="H9" s="30" t="s">
        <v>12</v>
      </c>
      <c r="I9" s="1"/>
      <c r="J9" s="31">
        <f t="shared" ref="J9:M9" si="5">SUM(J7:J8)</f>
        <v>20000</v>
      </c>
      <c r="K9" s="31">
        <f t="shared" si="5"/>
        <v>380000</v>
      </c>
      <c r="L9" s="31">
        <f t="shared" si="5"/>
        <v>750000</v>
      </c>
      <c r="M9" s="31">
        <f t="shared" si="5"/>
        <v>1100000</v>
      </c>
      <c r="N9" s="3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1"/>
      <c r="C10" s="1"/>
      <c r="D10" s="1"/>
      <c r="E10" s="1"/>
      <c r="F10" s="6"/>
      <c r="G10" s="21">
        <v>46000.0</v>
      </c>
      <c r="H10" s="22" t="s">
        <v>13</v>
      </c>
      <c r="I10" s="1"/>
      <c r="J10" s="29">
        <v>0.0</v>
      </c>
      <c r="K10" s="29">
        <v>0.0</v>
      </c>
      <c r="L10" s="29">
        <v>0.0</v>
      </c>
      <c r="M10" s="29">
        <v>0.0</v>
      </c>
      <c r="N10" s="2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"/>
      <c r="C11" s="1"/>
      <c r="D11" s="1"/>
      <c r="E11" s="1"/>
      <c r="F11" s="13">
        <v>2.0</v>
      </c>
      <c r="G11" s="27">
        <v>46100.0</v>
      </c>
      <c r="H11" s="28" t="s">
        <v>14</v>
      </c>
      <c r="I11" s="23">
        <v>2.0</v>
      </c>
      <c r="J11" s="32">
        <v>0.0</v>
      </c>
      <c r="K11" s="32">
        <v>0.0</v>
      </c>
      <c r="L11" s="32">
        <v>0.0</v>
      </c>
      <c r="M11" s="32">
        <v>0.0</v>
      </c>
      <c r="N11" s="3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"/>
      <c r="C12" s="1"/>
      <c r="D12" s="1"/>
      <c r="E12" s="1"/>
      <c r="F12" s="13"/>
      <c r="G12" s="21">
        <v>48000.0</v>
      </c>
      <c r="H12" s="22" t="s">
        <v>15</v>
      </c>
      <c r="I12" s="23"/>
      <c r="J12" s="29"/>
      <c r="K12" s="29"/>
      <c r="L12" s="33"/>
      <c r="M12" s="33"/>
      <c r="N12" s="2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"/>
      <c r="C13" s="1"/>
      <c r="D13" s="1"/>
      <c r="E13" s="1"/>
      <c r="F13" s="13">
        <v>3.0</v>
      </c>
      <c r="G13" s="27">
        <v>48100.0</v>
      </c>
      <c r="H13" s="28" t="s">
        <v>16</v>
      </c>
      <c r="I13" s="23">
        <v>3.0</v>
      </c>
      <c r="J13" s="32">
        <v>0.0</v>
      </c>
      <c r="K13" s="32">
        <v>2650.0</v>
      </c>
      <c r="L13" s="32">
        <v>9800.0</v>
      </c>
      <c r="M13" s="32">
        <v>14700.0</v>
      </c>
      <c r="N13" s="3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"/>
      <c r="C14" s="1"/>
      <c r="D14" s="1"/>
      <c r="E14" s="1"/>
      <c r="F14" s="13">
        <v>4.0</v>
      </c>
      <c r="G14" s="27">
        <v>49500.0</v>
      </c>
      <c r="H14" s="34" t="s">
        <v>17</v>
      </c>
      <c r="I14" s="23">
        <v>4.0</v>
      </c>
      <c r="J14" s="35">
        <v>0.0</v>
      </c>
      <c r="K14" s="35">
        <v>0.0</v>
      </c>
      <c r="L14" s="35">
        <v>0.0</v>
      </c>
      <c r="M14" s="35">
        <v>0.0</v>
      </c>
      <c r="N14" s="3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>
        <v>4.0</v>
      </c>
      <c r="B15" s="26">
        <f>J14</f>
        <v>0</v>
      </c>
      <c r="C15" s="26" t="str">
        <f>#REF!</f>
        <v>#REF!</v>
      </c>
      <c r="D15" s="26">
        <f t="shared" ref="D15:E15" si="6">K14</f>
        <v>0</v>
      </c>
      <c r="E15" s="26">
        <f t="shared" si="6"/>
        <v>0</v>
      </c>
      <c r="F15" s="13"/>
      <c r="G15" s="21">
        <v>41000.0</v>
      </c>
      <c r="H15" s="22" t="s">
        <v>18</v>
      </c>
      <c r="I15" s="23">
        <v>7.0</v>
      </c>
      <c r="J15" s="32"/>
      <c r="K15" s="32"/>
      <c r="L15" s="32"/>
      <c r="M15" s="32"/>
      <c r="N15" s="3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>
        <v>9.0</v>
      </c>
      <c r="B16" s="26">
        <f>J18+J19+J20+J21+J22+J25+J26+J27+J28+J29+J32+J33</f>
        <v>0</v>
      </c>
      <c r="C16" s="26" t="str">
        <f>#REF!+#REF!+#REF!+#REF!+#REF!+#REF!+#REF!+#REF!+#REF!+#REF!+#REF!+#REF!</f>
        <v>#REF!</v>
      </c>
      <c r="D16" s="26">
        <f t="shared" ref="D16:E16" si="7">K18+K19+K20+K21+K22+K25+K26+K27+K28+K29+K32+K33</f>
        <v>0</v>
      </c>
      <c r="E16" s="26">
        <f t="shared" si="7"/>
        <v>125000</v>
      </c>
      <c r="F16" s="13">
        <v>7.0</v>
      </c>
      <c r="G16" s="27">
        <v>41100.0</v>
      </c>
      <c r="H16" s="28" t="s">
        <v>19</v>
      </c>
      <c r="I16" s="1"/>
      <c r="J16" s="29">
        <v>0.0</v>
      </c>
      <c r="K16" s="29">
        <v>0.0</v>
      </c>
      <c r="L16" s="29">
        <v>0.0</v>
      </c>
      <c r="M16" s="29">
        <v>0.0</v>
      </c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"/>
      <c r="C17" s="1"/>
      <c r="D17" s="1"/>
      <c r="E17" s="1"/>
      <c r="F17" s="6">
        <v>9.0</v>
      </c>
      <c r="G17" s="21">
        <v>45000.0</v>
      </c>
      <c r="H17" s="22" t="s">
        <v>20</v>
      </c>
      <c r="I17" s="23"/>
      <c r="J17" s="33"/>
      <c r="K17" s="33"/>
      <c r="L17" s="33"/>
      <c r="M17" s="33"/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"/>
      <c r="C18" s="1"/>
      <c r="D18" s="1"/>
      <c r="E18" s="1"/>
      <c r="F18" s="6"/>
      <c r="G18" s="27">
        <v>45100.0</v>
      </c>
      <c r="H18" s="36" t="s">
        <v>21</v>
      </c>
      <c r="I18" s="1"/>
      <c r="J18" s="29">
        <v>0.0</v>
      </c>
      <c r="K18" s="29">
        <v>0.0</v>
      </c>
      <c r="L18" s="29">
        <v>100000.0</v>
      </c>
      <c r="M18" s="29">
        <v>350000.0</v>
      </c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6"/>
      <c r="G19" s="27">
        <v>45200.0</v>
      </c>
      <c r="H19" s="36" t="s">
        <v>22</v>
      </c>
      <c r="I19" s="1"/>
      <c r="J19" s="29">
        <v>0.0</v>
      </c>
      <c r="K19" s="29">
        <v>0.0</v>
      </c>
      <c r="L19" s="29">
        <v>25000.0</v>
      </c>
      <c r="M19" s="29">
        <v>50000.0</v>
      </c>
      <c r="N19" s="2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1"/>
      <c r="E20" s="1"/>
      <c r="F20" s="6"/>
      <c r="G20" s="27">
        <v>45300.0</v>
      </c>
      <c r="H20" s="36" t="s">
        <v>23</v>
      </c>
      <c r="I20" s="1"/>
      <c r="J20" s="29">
        <v>0.0</v>
      </c>
      <c r="K20" s="29">
        <v>0.0</v>
      </c>
      <c r="L20" s="29">
        <v>0.0</v>
      </c>
      <c r="M20" s="29">
        <v>0.0</v>
      </c>
      <c r="N20" s="2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1"/>
      <c r="D21" s="1"/>
      <c r="E21" s="1"/>
      <c r="F21" s="6"/>
      <c r="G21" s="27">
        <v>45400.0</v>
      </c>
      <c r="H21" s="28" t="s">
        <v>24</v>
      </c>
      <c r="I21" s="1"/>
      <c r="J21" s="29">
        <v>0.0</v>
      </c>
      <c r="K21" s="29">
        <v>0.0</v>
      </c>
      <c r="L21" s="29">
        <v>0.0</v>
      </c>
      <c r="M21" s="29">
        <v>0.0</v>
      </c>
      <c r="N21" s="2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1"/>
      <c r="D22" s="1"/>
      <c r="E22" s="1"/>
      <c r="F22" s="6"/>
      <c r="G22" s="27">
        <v>45500.0</v>
      </c>
      <c r="H22" s="28" t="s">
        <v>25</v>
      </c>
      <c r="I22" s="1"/>
      <c r="J22" s="29">
        <v>0.0</v>
      </c>
      <c r="K22" s="29">
        <v>0.0</v>
      </c>
      <c r="L22" s="29">
        <v>0.0</v>
      </c>
      <c r="M22" s="29">
        <v>0.0</v>
      </c>
      <c r="N22" s="2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.25" customHeight="1">
      <c r="A23" s="1"/>
      <c r="B23" s="1"/>
      <c r="C23" s="1"/>
      <c r="D23" s="1"/>
      <c r="E23" s="1"/>
      <c r="F23" s="6"/>
      <c r="G23" s="27"/>
      <c r="H23" s="28"/>
      <c r="I23" s="1"/>
      <c r="J23" s="33"/>
      <c r="K23" s="33"/>
      <c r="L23" s="33"/>
      <c r="M23" s="33"/>
      <c r="N23" s="33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3"/>
      <c r="G24" s="21">
        <v>47000.0</v>
      </c>
      <c r="H24" s="22" t="s">
        <v>26</v>
      </c>
      <c r="I24" s="23"/>
      <c r="J24" s="29">
        <v>0.0</v>
      </c>
      <c r="K24" s="29">
        <v>0.0</v>
      </c>
      <c r="L24" s="29">
        <v>0.0</v>
      </c>
      <c r="M24" s="29">
        <v>0.0</v>
      </c>
      <c r="N24" s="2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"/>
      <c r="D25" s="1"/>
      <c r="E25" s="1"/>
      <c r="F25" s="6">
        <v>9.0</v>
      </c>
      <c r="G25" s="27">
        <v>47100.0</v>
      </c>
      <c r="H25" s="28" t="s">
        <v>27</v>
      </c>
      <c r="I25" s="1"/>
      <c r="J25" s="29">
        <v>0.0</v>
      </c>
      <c r="K25" s="29">
        <v>0.0</v>
      </c>
      <c r="L25" s="29">
        <v>0.0</v>
      </c>
      <c r="M25" s="29">
        <v>0.0</v>
      </c>
      <c r="N25" s="2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6">
        <v>9.0</v>
      </c>
      <c r="G26" s="27">
        <v>47200.0</v>
      </c>
      <c r="H26" s="28" t="s">
        <v>28</v>
      </c>
      <c r="I26" s="1"/>
      <c r="J26" s="29">
        <v>0.0</v>
      </c>
      <c r="K26" s="29">
        <v>0.0</v>
      </c>
      <c r="L26" s="29">
        <v>0.0</v>
      </c>
      <c r="M26" s="29">
        <v>0.0</v>
      </c>
      <c r="N26" s="2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6">
        <v>9.0</v>
      </c>
      <c r="G27" s="27">
        <v>47300.0</v>
      </c>
      <c r="H27" s="28" t="s">
        <v>29</v>
      </c>
      <c r="I27" s="1"/>
      <c r="J27" s="29">
        <v>0.0</v>
      </c>
      <c r="K27" s="29">
        <v>0.0</v>
      </c>
      <c r="L27" s="29">
        <v>0.0</v>
      </c>
      <c r="M27" s="29">
        <v>0.0</v>
      </c>
      <c r="N27" s="2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1"/>
      <c r="E28" s="1"/>
      <c r="F28" s="6">
        <v>9.0</v>
      </c>
      <c r="G28" s="27">
        <v>47400.0</v>
      </c>
      <c r="H28" s="28" t="s">
        <v>30</v>
      </c>
      <c r="I28" s="1"/>
      <c r="J28" s="29">
        <v>0.0</v>
      </c>
      <c r="K28" s="29">
        <v>0.0</v>
      </c>
      <c r="L28" s="29">
        <v>0.0</v>
      </c>
      <c r="M28" s="29">
        <v>0.0</v>
      </c>
      <c r="N28" s="2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1"/>
      <c r="E29" s="1"/>
      <c r="F29" s="6">
        <v>9.0</v>
      </c>
      <c r="G29" s="27">
        <v>47500.0</v>
      </c>
      <c r="H29" s="28" t="s">
        <v>31</v>
      </c>
      <c r="I29" s="1"/>
      <c r="J29" s="29">
        <v>0.0</v>
      </c>
      <c r="K29" s="29">
        <v>0.0</v>
      </c>
      <c r="L29" s="29">
        <v>0.0</v>
      </c>
      <c r="M29" s="29">
        <v>0.0</v>
      </c>
      <c r="N29" s="2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6.75" customHeight="1">
      <c r="A30" s="1"/>
      <c r="B30" s="1"/>
      <c r="C30" s="1"/>
      <c r="D30" s="1"/>
      <c r="E30" s="1"/>
      <c r="F30" s="37"/>
      <c r="G30" s="38"/>
      <c r="H30" s="39"/>
      <c r="I30" s="40"/>
      <c r="J30" s="33"/>
      <c r="K30" s="33"/>
      <c r="L30" s="33"/>
      <c r="M30" s="33"/>
      <c r="N30" s="3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3"/>
      <c r="G31" s="21">
        <v>49000.0</v>
      </c>
      <c r="H31" s="22" t="s">
        <v>32</v>
      </c>
      <c r="I31" s="23"/>
      <c r="J31" s="29">
        <v>0.0</v>
      </c>
      <c r="K31" s="29">
        <v>0.0</v>
      </c>
      <c r="L31" s="29">
        <v>0.0</v>
      </c>
      <c r="M31" s="29">
        <v>0.0</v>
      </c>
      <c r="N31" s="2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6">
        <v>9.0</v>
      </c>
      <c r="G32" s="27">
        <v>49100.0</v>
      </c>
      <c r="H32" s="28" t="s">
        <v>33</v>
      </c>
      <c r="I32" s="1"/>
      <c r="J32" s="29">
        <v>0.0</v>
      </c>
      <c r="K32" s="29">
        <v>0.0</v>
      </c>
      <c r="L32" s="29">
        <v>0.0</v>
      </c>
      <c r="M32" s="29">
        <v>0.0</v>
      </c>
      <c r="N32" s="2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6">
        <v>9.0</v>
      </c>
      <c r="G33" s="27">
        <v>49200.0</v>
      </c>
      <c r="H33" s="28" t="s">
        <v>34</v>
      </c>
      <c r="I33" s="1"/>
      <c r="J33" s="29">
        <v>0.0</v>
      </c>
      <c r="K33" s="29">
        <v>0.0</v>
      </c>
      <c r="L33" s="29">
        <v>0.0</v>
      </c>
      <c r="M33" s="29">
        <v>0.0</v>
      </c>
      <c r="N33" s="2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6"/>
      <c r="G34" s="20"/>
      <c r="H34" s="41" t="s">
        <v>35</v>
      </c>
      <c r="I34" s="1"/>
      <c r="J34" s="42">
        <f t="shared" ref="J34:M34" si="8">SUM(J18:J33)</f>
        <v>0</v>
      </c>
      <c r="K34" s="42">
        <f t="shared" si="8"/>
        <v>0</v>
      </c>
      <c r="L34" s="42">
        <f t="shared" si="8"/>
        <v>125000</v>
      </c>
      <c r="M34" s="42">
        <f t="shared" si="8"/>
        <v>400000</v>
      </c>
      <c r="N34" s="4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6">
        <v>13.0</v>
      </c>
      <c r="G35" s="43"/>
      <c r="H35" s="44" t="s">
        <v>36</v>
      </c>
      <c r="I35" s="45"/>
      <c r="J35" s="46">
        <f t="shared" ref="J35:M35" si="9">J34+J16+J14+J13+J11+J9</f>
        <v>20000</v>
      </c>
      <c r="K35" s="46">
        <f t="shared" si="9"/>
        <v>382650</v>
      </c>
      <c r="L35" s="46">
        <f t="shared" si="9"/>
        <v>884800</v>
      </c>
      <c r="M35" s="46">
        <f t="shared" si="9"/>
        <v>1514700</v>
      </c>
      <c r="N35" s="4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 t="s">
        <v>37</v>
      </c>
      <c r="C36" s="1"/>
      <c r="D36" s="1"/>
      <c r="E36" s="1"/>
      <c r="F36" s="6"/>
      <c r="G36" s="1"/>
      <c r="H36" s="1"/>
      <c r="I36" s="1"/>
      <c r="J36" s="47"/>
      <c r="K36" s="47"/>
      <c r="L36" s="47"/>
      <c r="M36" s="47"/>
      <c r="N36" s="4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6"/>
      <c r="G37" s="48"/>
      <c r="H37" s="48" t="s">
        <v>38</v>
      </c>
      <c r="I37" s="1"/>
      <c r="J37" s="47"/>
      <c r="K37" s="47"/>
      <c r="L37" s="47"/>
      <c r="M37" s="47"/>
      <c r="N37" s="4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6"/>
      <c r="G38" s="1"/>
      <c r="H38" s="1"/>
      <c r="I38" s="1"/>
      <c r="J38" s="47"/>
      <c r="K38" s="47"/>
      <c r="L38" s="47"/>
      <c r="M38" s="47"/>
      <c r="N38" s="4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6"/>
      <c r="G39" s="21">
        <v>70000.0</v>
      </c>
      <c r="H39" s="22" t="s">
        <v>39</v>
      </c>
      <c r="I39" s="1"/>
      <c r="J39" s="33"/>
      <c r="K39" s="33"/>
      <c r="L39" s="33"/>
      <c r="M39" s="33"/>
      <c r="N39" s="29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6">
        <v>14.0</v>
      </c>
      <c r="G40" s="49">
        <v>71000.0</v>
      </c>
      <c r="H40" s="28" t="s">
        <v>40</v>
      </c>
      <c r="I40" s="1"/>
      <c r="J40" s="29">
        <v>0.0</v>
      </c>
      <c r="K40" s="29">
        <v>0.0</v>
      </c>
      <c r="L40" s="29">
        <v>0.0</v>
      </c>
      <c r="M40" s="29">
        <v>0.0</v>
      </c>
      <c r="N40" s="2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6">
        <v>14.0</v>
      </c>
      <c r="G41" s="27">
        <v>71100.0</v>
      </c>
      <c r="H41" s="28" t="s">
        <v>41</v>
      </c>
      <c r="I41" s="1"/>
      <c r="J41" s="29">
        <v>0.0</v>
      </c>
      <c r="K41" s="29">
        <v>0.0</v>
      </c>
      <c r="L41" s="29">
        <v>0.0</v>
      </c>
      <c r="M41" s="29">
        <v>0.0</v>
      </c>
      <c r="N41" s="29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6">
        <v>14.0</v>
      </c>
      <c r="G42" s="27">
        <v>71200.0</v>
      </c>
      <c r="H42" s="50" t="s">
        <v>42</v>
      </c>
      <c r="I42" s="1"/>
      <c r="J42" s="29">
        <v>0.0</v>
      </c>
      <c r="K42" s="29">
        <v>0.0</v>
      </c>
      <c r="L42" s="29">
        <v>0.0</v>
      </c>
      <c r="M42" s="29">
        <v>0.0</v>
      </c>
      <c r="N42" s="29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6">
        <v>14.0</v>
      </c>
      <c r="G43" s="27">
        <v>71300.0</v>
      </c>
      <c r="H43" s="28" t="s">
        <v>43</v>
      </c>
      <c r="I43" s="1"/>
      <c r="J43" s="29">
        <v>0.0</v>
      </c>
      <c r="K43" s="29">
        <v>0.0</v>
      </c>
      <c r="L43" s="29">
        <v>0.0</v>
      </c>
      <c r="M43" s="29">
        <v>0.0</v>
      </c>
      <c r="N43" s="2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6">
        <v>14.0</v>
      </c>
      <c r="G44" s="27">
        <v>71400.0</v>
      </c>
      <c r="H44" s="28" t="s">
        <v>44</v>
      </c>
      <c r="I44" s="1"/>
      <c r="J44" s="29">
        <v>0.0</v>
      </c>
      <c r="K44" s="29">
        <v>0.0</v>
      </c>
      <c r="L44" s="29">
        <v>0.0</v>
      </c>
      <c r="M44" s="29">
        <v>0.0</v>
      </c>
      <c r="N44" s="29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6">
        <v>14.0</v>
      </c>
      <c r="G45" s="27">
        <v>71500.0</v>
      </c>
      <c r="H45" s="28" t="s">
        <v>45</v>
      </c>
      <c r="I45" s="1"/>
      <c r="J45" s="29">
        <v>0.0</v>
      </c>
      <c r="K45" s="29">
        <v>0.0</v>
      </c>
      <c r="L45" s="29">
        <v>0.0</v>
      </c>
      <c r="M45" s="29">
        <v>0.0</v>
      </c>
      <c r="N45" s="2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5.25" customHeight="1">
      <c r="A46" s="1"/>
      <c r="B46" s="1"/>
      <c r="C46" s="1"/>
      <c r="D46" s="1"/>
      <c r="E46" s="1"/>
      <c r="F46" s="6"/>
      <c r="G46" s="27"/>
      <c r="H46" s="34"/>
      <c r="I46" s="1"/>
      <c r="J46" s="51"/>
      <c r="K46" s="51"/>
      <c r="L46" s="51"/>
      <c r="M46" s="51"/>
      <c r="N46" s="5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6">
        <v>14.0</v>
      </c>
      <c r="G47" s="27">
        <v>72000.0</v>
      </c>
      <c r="H47" s="28" t="s">
        <v>46</v>
      </c>
      <c r="I47" s="1"/>
      <c r="J47" s="52">
        <v>0.0</v>
      </c>
      <c r="K47" s="52">
        <v>0.0</v>
      </c>
      <c r="L47" s="52">
        <v>0.0</v>
      </c>
      <c r="M47" s="52">
        <v>0.0</v>
      </c>
      <c r="N47" s="5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6">
        <v>14.0</v>
      </c>
      <c r="G48" s="20">
        <v>72100.0</v>
      </c>
      <c r="H48" s="28" t="s">
        <v>47</v>
      </c>
      <c r="I48" s="1"/>
      <c r="J48" s="52">
        <v>0.0</v>
      </c>
      <c r="K48" s="52">
        <v>0.0</v>
      </c>
      <c r="L48" s="52">
        <v>0.0</v>
      </c>
      <c r="M48" s="52">
        <v>0.0</v>
      </c>
      <c r="N48" s="5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6">
        <v>14.0</v>
      </c>
      <c r="G49" s="20">
        <v>72200.0</v>
      </c>
      <c r="H49" s="50" t="s">
        <v>48</v>
      </c>
      <c r="I49" s="1"/>
      <c r="J49" s="52">
        <v>0.0</v>
      </c>
      <c r="K49" s="52">
        <v>0.0</v>
      </c>
      <c r="L49" s="52">
        <v>0.0</v>
      </c>
      <c r="M49" s="52">
        <v>0.0</v>
      </c>
      <c r="N49" s="5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6">
        <v>14.0</v>
      </c>
      <c r="G50" s="20">
        <v>72300.0</v>
      </c>
      <c r="H50" s="28" t="s">
        <v>49</v>
      </c>
      <c r="I50" s="1"/>
      <c r="J50" s="52">
        <v>0.0</v>
      </c>
      <c r="K50" s="52">
        <v>0.0</v>
      </c>
      <c r="L50" s="52">
        <v>0.0</v>
      </c>
      <c r="M50" s="52">
        <v>0.0</v>
      </c>
      <c r="N50" s="5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6">
        <v>14.0</v>
      </c>
      <c r="G51" s="20">
        <v>72400.0</v>
      </c>
      <c r="H51" s="28" t="s">
        <v>50</v>
      </c>
      <c r="I51" s="1"/>
      <c r="J51" s="52">
        <v>0.0</v>
      </c>
      <c r="K51" s="52">
        <v>0.0</v>
      </c>
      <c r="L51" s="52">
        <v>0.0</v>
      </c>
      <c r="M51" s="52">
        <v>0.0</v>
      </c>
      <c r="N51" s="5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6">
        <v>14.0</v>
      </c>
      <c r="G52" s="20">
        <v>72500.0</v>
      </c>
      <c r="H52" s="28" t="s">
        <v>51</v>
      </c>
      <c r="I52" s="1"/>
      <c r="J52" s="52">
        <v>0.0</v>
      </c>
      <c r="K52" s="52">
        <v>0.0</v>
      </c>
      <c r="L52" s="52">
        <v>0.0</v>
      </c>
      <c r="M52" s="52">
        <v>0.0</v>
      </c>
      <c r="N52" s="5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6.0" customHeight="1">
      <c r="A53" s="1"/>
      <c r="B53" s="1"/>
      <c r="C53" s="1"/>
      <c r="D53" s="1"/>
      <c r="E53" s="1"/>
      <c r="F53" s="6"/>
      <c r="G53" s="20"/>
      <c r="H53" s="28"/>
      <c r="I53" s="1"/>
      <c r="J53" s="51"/>
      <c r="K53" s="51"/>
      <c r="L53" s="51"/>
      <c r="M53" s="51"/>
      <c r="N53" s="5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6">
        <v>14.0</v>
      </c>
      <c r="G54" s="20">
        <v>73000.0</v>
      </c>
      <c r="H54" s="28" t="s">
        <v>52</v>
      </c>
      <c r="I54" s="1"/>
      <c r="J54" s="52">
        <v>0.0</v>
      </c>
      <c r="K54" s="52">
        <v>0.0</v>
      </c>
      <c r="L54" s="52">
        <v>0.0</v>
      </c>
      <c r="M54" s="52">
        <v>0.0</v>
      </c>
      <c r="N54" s="5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6">
        <v>14.0</v>
      </c>
      <c r="G55" s="20">
        <v>73100.0</v>
      </c>
      <c r="H55" s="28" t="s">
        <v>53</v>
      </c>
      <c r="I55" s="1"/>
      <c r="J55" s="52">
        <v>0.0</v>
      </c>
      <c r="K55" s="52">
        <v>0.0</v>
      </c>
      <c r="L55" s="52">
        <v>0.0</v>
      </c>
      <c r="M55" s="52">
        <v>0.0</v>
      </c>
      <c r="N55" s="5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6">
        <v>14.0</v>
      </c>
      <c r="G56" s="20">
        <v>73200.0</v>
      </c>
      <c r="H56" s="50" t="s">
        <v>54</v>
      </c>
      <c r="I56" s="1"/>
      <c r="J56" s="52">
        <v>0.0</v>
      </c>
      <c r="K56" s="52">
        <v>0.0</v>
      </c>
      <c r="L56" s="52">
        <v>0.0</v>
      </c>
      <c r="M56" s="52">
        <v>0.0</v>
      </c>
      <c r="N56" s="5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6">
        <v>14.0</v>
      </c>
      <c r="G57" s="20">
        <v>73300.0</v>
      </c>
      <c r="H57" s="28" t="s">
        <v>55</v>
      </c>
      <c r="I57" s="1"/>
      <c r="J57" s="52">
        <v>0.0</v>
      </c>
      <c r="K57" s="52">
        <v>0.0</v>
      </c>
      <c r="L57" s="52">
        <v>0.0</v>
      </c>
      <c r="M57" s="52">
        <v>0.0</v>
      </c>
      <c r="N57" s="5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6">
        <v>14.0</v>
      </c>
      <c r="G58" s="20">
        <v>73400.0</v>
      </c>
      <c r="H58" s="28" t="s">
        <v>56</v>
      </c>
      <c r="I58" s="1"/>
      <c r="J58" s="52">
        <v>0.0</v>
      </c>
      <c r="K58" s="52">
        <v>0.0</v>
      </c>
      <c r="L58" s="52">
        <v>0.0</v>
      </c>
      <c r="M58" s="52">
        <v>0.0</v>
      </c>
      <c r="N58" s="5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6">
        <v>14.0</v>
      </c>
      <c r="G59" s="20">
        <v>73500.0</v>
      </c>
      <c r="H59" s="28" t="s">
        <v>57</v>
      </c>
      <c r="I59" s="1"/>
      <c r="J59" s="52">
        <v>0.0</v>
      </c>
      <c r="K59" s="52">
        <v>0.0</v>
      </c>
      <c r="L59" s="52">
        <v>0.0</v>
      </c>
      <c r="M59" s="52">
        <v>0.0</v>
      </c>
      <c r="N59" s="5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6"/>
      <c r="G60" s="20"/>
      <c r="H60" s="30" t="s">
        <v>58</v>
      </c>
      <c r="I60" s="1"/>
      <c r="J60" s="42">
        <f t="shared" ref="J60:M60" si="10">SUM(J40:J59)</f>
        <v>0</v>
      </c>
      <c r="K60" s="42">
        <f t="shared" si="10"/>
        <v>0</v>
      </c>
      <c r="L60" s="42">
        <f t="shared" si="10"/>
        <v>0</v>
      </c>
      <c r="M60" s="42">
        <f t="shared" si="10"/>
        <v>0</v>
      </c>
      <c r="N60" s="4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>
        <v>14.0</v>
      </c>
      <c r="B61" s="26" t="str">
        <f t="shared" ref="B61:E61" si="11">SUM(#REF!)</f>
        <v>#REF!</v>
      </c>
      <c r="C61" s="26" t="str">
        <f t="shared" si="11"/>
        <v>#REF!</v>
      </c>
      <c r="D61" s="26" t="str">
        <f t="shared" si="11"/>
        <v>#REF!</v>
      </c>
      <c r="E61" s="26" t="str">
        <f t="shared" si="11"/>
        <v>#REF!</v>
      </c>
      <c r="F61" s="53"/>
      <c r="G61" s="21">
        <v>50000.0</v>
      </c>
      <c r="H61" s="22" t="s">
        <v>59</v>
      </c>
      <c r="I61" s="54"/>
      <c r="J61" s="29">
        <v>0.0</v>
      </c>
      <c r="K61" s="29">
        <v>0.0</v>
      </c>
      <c r="L61" s="29">
        <v>0.0</v>
      </c>
      <c r="M61" s="29">
        <v>0.0</v>
      </c>
      <c r="N61" s="29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>
        <v>15.0</v>
      </c>
      <c r="B62" s="26">
        <f>J62:J66</f>
        <v>0</v>
      </c>
      <c r="C62" s="26" t="str">
        <f t="shared" ref="C62:C63" si="13">#REF!</f>
        <v>#REF!</v>
      </c>
      <c r="D62" s="26">
        <f t="shared" ref="D62:E62" si="12">K62:K66</f>
        <v>0</v>
      </c>
      <c r="E62" s="26">
        <f t="shared" si="12"/>
        <v>0</v>
      </c>
      <c r="F62" s="37">
        <v>15.0</v>
      </c>
      <c r="G62" s="27">
        <v>50100.0</v>
      </c>
      <c r="H62" s="28" t="s">
        <v>60</v>
      </c>
      <c r="I62" s="40"/>
      <c r="J62" s="29">
        <v>0.0</v>
      </c>
      <c r="K62" s="29">
        <v>0.0</v>
      </c>
      <c r="L62" s="29">
        <v>0.0</v>
      </c>
      <c r="M62" s="29">
        <v>0.0</v>
      </c>
      <c r="N62" s="29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>
        <v>16.0</v>
      </c>
      <c r="B63" s="26">
        <f>J68</f>
        <v>0</v>
      </c>
      <c r="C63" s="26" t="str">
        <f t="shared" si="13"/>
        <v>#REF!</v>
      </c>
      <c r="D63" s="26">
        <f t="shared" ref="D63:E63" si="14">K68</f>
        <v>0</v>
      </c>
      <c r="E63" s="26">
        <f t="shared" si="14"/>
        <v>0</v>
      </c>
      <c r="F63" s="37">
        <v>15.0</v>
      </c>
      <c r="G63" s="27">
        <v>50200.0</v>
      </c>
      <c r="H63" s="28" t="s">
        <v>61</v>
      </c>
      <c r="I63" s="40"/>
      <c r="J63" s="29">
        <v>0.0</v>
      </c>
      <c r="K63" s="29">
        <v>0.0</v>
      </c>
      <c r="L63" s="29">
        <v>0.0</v>
      </c>
      <c r="M63" s="29">
        <v>0.0</v>
      </c>
      <c r="N63" s="2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>
        <v>17.0</v>
      </c>
      <c r="B64" s="26">
        <f>J71+J72</f>
        <v>0</v>
      </c>
      <c r="C64" s="26" t="str">
        <f t="shared" ref="C64:C65" si="16">#REF!+#REF!</f>
        <v>#REF!</v>
      </c>
      <c r="D64" s="26">
        <f t="shared" ref="D64:E64" si="15">K71+K72</f>
        <v>15000</v>
      </c>
      <c r="E64" s="26">
        <f t="shared" si="15"/>
        <v>471500</v>
      </c>
      <c r="F64" s="37">
        <v>15.0</v>
      </c>
      <c r="G64" s="27">
        <v>50300.0</v>
      </c>
      <c r="H64" s="28" t="s">
        <v>62</v>
      </c>
      <c r="I64" s="40"/>
      <c r="J64" s="29">
        <v>0.0</v>
      </c>
      <c r="K64" s="29">
        <v>0.0</v>
      </c>
      <c r="L64" s="29">
        <v>0.0</v>
      </c>
      <c r="M64" s="29">
        <v>0.0</v>
      </c>
      <c r="N64" s="29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>
        <v>18.0</v>
      </c>
      <c r="B65" s="26">
        <f>J74+J75</f>
        <v>0</v>
      </c>
      <c r="C65" s="26" t="str">
        <f t="shared" si="16"/>
        <v>#REF!</v>
      </c>
      <c r="D65" s="26">
        <f t="shared" ref="D65:E65" si="17">K74+K75</f>
        <v>0</v>
      </c>
      <c r="E65" s="26">
        <f t="shared" si="17"/>
        <v>0</v>
      </c>
      <c r="F65" s="37">
        <v>15.0</v>
      </c>
      <c r="G65" s="27">
        <v>50400.0</v>
      </c>
      <c r="H65" s="28" t="s">
        <v>63</v>
      </c>
      <c r="I65" s="40"/>
      <c r="J65" s="29">
        <v>0.0</v>
      </c>
      <c r="K65" s="29">
        <v>0.0</v>
      </c>
      <c r="L65" s="29">
        <v>0.0</v>
      </c>
      <c r="M65" s="29">
        <v>0.0</v>
      </c>
      <c r="N65" s="2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>
        <v>20.0</v>
      </c>
      <c r="B66" s="26">
        <f>J78+J79+J80+J81+J82+J83</f>
        <v>0</v>
      </c>
      <c r="C66" s="26" t="str">
        <f>#REF!+#REF!+#REF!+#REF!+#REF!+#REF!</f>
        <v>#REF!</v>
      </c>
      <c r="D66" s="26">
        <f t="shared" ref="D66:E66" si="18">K78+K79+K80+K81+K82+K83</f>
        <v>0</v>
      </c>
      <c r="E66" s="26">
        <f t="shared" si="18"/>
        <v>0</v>
      </c>
      <c r="F66" s="37">
        <v>15.0</v>
      </c>
      <c r="G66" s="27">
        <v>50500.0</v>
      </c>
      <c r="H66" s="55" t="s">
        <v>64</v>
      </c>
      <c r="I66" s="40"/>
      <c r="J66" s="29">
        <v>0.0</v>
      </c>
      <c r="K66" s="29">
        <v>0.0</v>
      </c>
      <c r="L66" s="29">
        <v>0.0</v>
      </c>
      <c r="M66" s="29">
        <v>0.0</v>
      </c>
      <c r="N66" s="29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26"/>
      <c r="C67" s="26"/>
      <c r="D67" s="26"/>
      <c r="E67" s="26"/>
      <c r="F67" s="37"/>
      <c r="G67" s="27"/>
      <c r="H67" s="56" t="s">
        <v>65</v>
      </c>
      <c r="I67" s="40"/>
      <c r="J67" s="31">
        <f t="shared" ref="J67:M67" si="19">SUM(J62:J66)</f>
        <v>0</v>
      </c>
      <c r="K67" s="31">
        <f t="shared" si="19"/>
        <v>0</v>
      </c>
      <c r="L67" s="31">
        <f t="shared" si="19"/>
        <v>0</v>
      </c>
      <c r="M67" s="31">
        <f t="shared" si="19"/>
        <v>0</v>
      </c>
      <c r="N67" s="3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26"/>
      <c r="C68" s="26"/>
      <c r="D68" s="26"/>
      <c r="E68" s="26"/>
      <c r="F68" s="37">
        <v>16.0</v>
      </c>
      <c r="G68" s="27">
        <v>50600.0</v>
      </c>
      <c r="H68" s="28" t="s">
        <v>66</v>
      </c>
      <c r="I68" s="40"/>
      <c r="J68" s="29">
        <v>0.0</v>
      </c>
      <c r="K68" s="29">
        <v>0.0</v>
      </c>
      <c r="L68" s="29">
        <v>0.0</v>
      </c>
      <c r="M68" s="29">
        <v>0.0</v>
      </c>
      <c r="N68" s="29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>
        <v>22.0</v>
      </c>
      <c r="B69" s="26">
        <f>J86+J87+J88+J89+J90</f>
        <v>46336</v>
      </c>
      <c r="C69" s="26" t="str">
        <f>#REF!+#REF!+#REF!+#REF!+#REF!</f>
        <v>#REF!</v>
      </c>
      <c r="D69" s="26">
        <f t="shared" ref="D69:E69" si="20">K86+K87+K88+K89+K90</f>
        <v>111375</v>
      </c>
      <c r="E69" s="26">
        <f t="shared" si="20"/>
        <v>298000</v>
      </c>
      <c r="F69" s="37"/>
      <c r="G69" s="27"/>
      <c r="H69" s="56" t="s">
        <v>67</v>
      </c>
      <c r="I69" s="40"/>
      <c r="J69" s="31">
        <f t="shared" ref="J69:M69" si="21">J68</f>
        <v>0</v>
      </c>
      <c r="K69" s="31">
        <f t="shared" si="21"/>
        <v>0</v>
      </c>
      <c r="L69" s="31">
        <f t="shared" si="21"/>
        <v>0</v>
      </c>
      <c r="M69" s="31">
        <f t="shared" si="21"/>
        <v>0</v>
      </c>
      <c r="N69" s="3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>
        <v>23.0</v>
      </c>
      <c r="B70" s="26" t="str">
        <f>J135+J136+J121+J92+J93+J95+J96+J97+J98+J99+J100+J101+J102+J103+J105+J106+J108+J107+J110+J111+J112+J114+J115+J116+J117+J118+J119+J120+J122+J123+J125+#REF!+J126+J127+J129+J130+J131+J132+J133+J134</f>
        <v>#REF!</v>
      </c>
      <c r="C70" s="26" t="str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26" t="str">
        <f t="shared" ref="D70:E70" si="22">K135+K136+K121+K92+K93+K95+K96+K97+K98+K99+K100+K101+K102+K103+K105+K106+K108+K107+K110+K111+K112+K114+K115+K116+K117+K118+K119+K120+K122+K123+K125+#REF!+K126+K127+K129+K130+K131+K132+K133+K134</f>
        <v>#REF!</v>
      </c>
      <c r="E70" s="26" t="str">
        <f t="shared" si="22"/>
        <v>#REF!</v>
      </c>
      <c r="F70" s="6"/>
      <c r="G70" s="21">
        <v>51000.0</v>
      </c>
      <c r="H70" s="22" t="s">
        <v>68</v>
      </c>
      <c r="I70" s="1"/>
      <c r="J70" s="33"/>
      <c r="K70" s="33"/>
      <c r="L70" s="33"/>
      <c r="M70" s="33"/>
      <c r="N70" s="33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6">
        <v>17.0</v>
      </c>
      <c r="G71" s="27">
        <v>51100.0</v>
      </c>
      <c r="H71" s="28" t="s">
        <v>69</v>
      </c>
      <c r="I71" s="1"/>
      <c r="J71" s="29">
        <v>0.0</v>
      </c>
      <c r="K71" s="29">
        <v>15000.0</v>
      </c>
      <c r="L71" s="29">
        <v>410000.0</v>
      </c>
      <c r="M71" s="29">
        <v>560000.0</v>
      </c>
      <c r="N71" s="3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6">
        <v>17.0</v>
      </c>
      <c r="G72" s="27">
        <v>51400.0</v>
      </c>
      <c r="H72" s="28" t="s">
        <v>70</v>
      </c>
      <c r="I72" s="1"/>
      <c r="J72" s="29">
        <v>0.0</v>
      </c>
      <c r="K72" s="29">
        <v>0.0</v>
      </c>
      <c r="L72" s="29">
        <v>61500.0</v>
      </c>
      <c r="M72" s="29">
        <v>84000.0</v>
      </c>
      <c r="N72" s="29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6"/>
      <c r="G73" s="27"/>
      <c r="H73" s="30" t="s">
        <v>71</v>
      </c>
      <c r="I73" s="1"/>
      <c r="J73" s="31">
        <f>SUM(J71:J72)</f>
        <v>0</v>
      </c>
      <c r="K73" s="31"/>
      <c r="L73" s="31"/>
      <c r="M73" s="31"/>
      <c r="N73" s="3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6">
        <v>18.0</v>
      </c>
      <c r="G74" s="27">
        <v>51200.0</v>
      </c>
      <c r="H74" s="28" t="s">
        <v>72</v>
      </c>
      <c r="I74" s="1"/>
      <c r="J74" s="29">
        <v>0.0</v>
      </c>
      <c r="K74" s="29">
        <v>0.0</v>
      </c>
      <c r="L74" s="29">
        <v>0.0</v>
      </c>
      <c r="M74" s="29">
        <v>0.0</v>
      </c>
      <c r="N74" s="29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6">
        <v>18.0</v>
      </c>
      <c r="G75" s="27">
        <v>51450.0</v>
      </c>
      <c r="H75" s="28" t="s">
        <v>73</v>
      </c>
      <c r="I75" s="1"/>
      <c r="J75" s="29">
        <v>0.0</v>
      </c>
      <c r="K75" s="29">
        <v>0.0</v>
      </c>
      <c r="L75" s="29">
        <v>0.0</v>
      </c>
      <c r="M75" s="29">
        <v>0.0</v>
      </c>
      <c r="N75" s="29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6"/>
      <c r="G76" s="1"/>
      <c r="H76" s="30" t="s">
        <v>74</v>
      </c>
      <c r="I76" s="1"/>
      <c r="J76" s="31">
        <f t="shared" ref="J76:M76" si="23">SUM(J74:J75)</f>
        <v>0</v>
      </c>
      <c r="K76" s="31">
        <f t="shared" si="23"/>
        <v>0</v>
      </c>
      <c r="L76" s="31">
        <f t="shared" si="23"/>
        <v>0</v>
      </c>
      <c r="M76" s="31">
        <f t="shared" si="23"/>
        <v>0</v>
      </c>
      <c r="N76" s="3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6"/>
      <c r="G77" s="21">
        <v>54000.0</v>
      </c>
      <c r="H77" s="22" t="s">
        <v>75</v>
      </c>
      <c r="I77" s="1"/>
      <c r="J77" s="29">
        <v>0.0</v>
      </c>
      <c r="K77" s="29">
        <v>0.0</v>
      </c>
      <c r="L77" s="29">
        <v>0.0</v>
      </c>
      <c r="M77" s="29">
        <v>0.0</v>
      </c>
      <c r="N77" s="29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6">
        <v>20.0</v>
      </c>
      <c r="G78" s="27">
        <v>54100.0</v>
      </c>
      <c r="H78" s="28" t="s">
        <v>76</v>
      </c>
      <c r="I78" s="1"/>
      <c r="J78" s="29">
        <v>0.0</v>
      </c>
      <c r="K78" s="29">
        <v>0.0</v>
      </c>
      <c r="L78" s="29">
        <v>0.0</v>
      </c>
      <c r="M78" s="29">
        <v>0.0</v>
      </c>
      <c r="N78" s="29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6">
        <v>20.0</v>
      </c>
      <c r="G79" s="27">
        <v>54200.0</v>
      </c>
      <c r="H79" s="28" t="s">
        <v>77</v>
      </c>
      <c r="I79" s="1"/>
      <c r="J79" s="29">
        <v>0.0</v>
      </c>
      <c r="K79" s="29">
        <v>0.0</v>
      </c>
      <c r="L79" s="29">
        <v>0.0</v>
      </c>
      <c r="M79" s="29">
        <v>0.0</v>
      </c>
      <c r="N79" s="29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6">
        <v>20.0</v>
      </c>
      <c r="G80" s="27">
        <v>54300.0</v>
      </c>
      <c r="H80" s="28" t="s">
        <v>78</v>
      </c>
      <c r="I80" s="1"/>
      <c r="J80" s="29">
        <v>0.0</v>
      </c>
      <c r="K80" s="29">
        <v>0.0</v>
      </c>
      <c r="L80" s="29">
        <v>0.0</v>
      </c>
      <c r="M80" s="29">
        <v>0.0</v>
      </c>
      <c r="N80" s="29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6">
        <v>20.0</v>
      </c>
      <c r="G81" s="27">
        <v>54400.0</v>
      </c>
      <c r="H81" s="28" t="s">
        <v>79</v>
      </c>
      <c r="I81" s="1"/>
      <c r="J81" s="29">
        <v>0.0</v>
      </c>
      <c r="K81" s="29">
        <v>0.0</v>
      </c>
      <c r="L81" s="29">
        <v>0.0</v>
      </c>
      <c r="M81" s="29">
        <v>0.0</v>
      </c>
      <c r="N81" s="29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6">
        <v>20.0</v>
      </c>
      <c r="G82" s="27">
        <v>54500.0</v>
      </c>
      <c r="H82" s="28" t="s">
        <v>80</v>
      </c>
      <c r="I82" s="1"/>
      <c r="J82" s="29">
        <v>0.0</v>
      </c>
      <c r="K82" s="29">
        <v>0.0</v>
      </c>
      <c r="L82" s="29">
        <v>0.0</v>
      </c>
      <c r="M82" s="29">
        <v>0.0</v>
      </c>
      <c r="N82" s="29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6">
        <v>20.0</v>
      </c>
      <c r="G83" s="27">
        <v>54600.0</v>
      </c>
      <c r="H83" s="28" t="s">
        <v>81</v>
      </c>
      <c r="I83" s="1"/>
      <c r="J83" s="29">
        <v>0.0</v>
      </c>
      <c r="K83" s="29">
        <v>0.0</v>
      </c>
      <c r="L83" s="29">
        <v>0.0</v>
      </c>
      <c r="M83" s="29">
        <v>0.0</v>
      </c>
      <c r="N83" s="29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6"/>
      <c r="G84" s="27"/>
      <c r="H84" s="30" t="s">
        <v>82</v>
      </c>
      <c r="I84" s="1"/>
      <c r="J84" s="31">
        <f t="shared" ref="J84:M84" si="24">SUM(J78:J83)</f>
        <v>0</v>
      </c>
      <c r="K84" s="31">
        <f t="shared" si="24"/>
        <v>0</v>
      </c>
      <c r="L84" s="31">
        <f t="shared" si="24"/>
        <v>0</v>
      </c>
      <c r="M84" s="31">
        <f t="shared" si="24"/>
        <v>0</v>
      </c>
      <c r="N84" s="3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6"/>
      <c r="G85" s="21">
        <v>52000.0</v>
      </c>
      <c r="H85" s="22" t="s">
        <v>83</v>
      </c>
      <c r="I85" s="1"/>
      <c r="J85" s="33"/>
      <c r="K85" s="33"/>
      <c r="L85" s="33"/>
      <c r="M85" s="33"/>
      <c r="N85" s="3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6">
        <v>22.0</v>
      </c>
      <c r="G86" s="27">
        <v>52200.0</v>
      </c>
      <c r="H86" s="28" t="s">
        <v>84</v>
      </c>
      <c r="I86" s="1"/>
      <c r="J86" s="29">
        <v>2534.0</v>
      </c>
      <c r="K86" s="29">
        <v>5000.0</v>
      </c>
      <c r="L86" s="29">
        <v>15000.0</v>
      </c>
      <c r="M86" s="29">
        <v>20000.0</v>
      </c>
      <c r="N86" s="29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6">
        <v>22.0</v>
      </c>
      <c r="G87" s="27">
        <v>52400.0</v>
      </c>
      <c r="H87" s="57" t="s">
        <v>85</v>
      </c>
      <c r="I87" s="1"/>
      <c r="J87" s="29">
        <v>42702.0</v>
      </c>
      <c r="K87" s="29">
        <v>106375.0</v>
      </c>
      <c r="L87" s="29">
        <v>263000.0</v>
      </c>
      <c r="M87" s="29">
        <v>405000.0</v>
      </c>
      <c r="N87" s="29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6">
        <v>22.0</v>
      </c>
      <c r="G88" s="27">
        <v>52500.0</v>
      </c>
      <c r="H88" s="28" t="s">
        <v>86</v>
      </c>
      <c r="I88" s="1"/>
      <c r="J88" s="29">
        <v>1100.0</v>
      </c>
      <c r="K88" s="29">
        <v>0.0</v>
      </c>
      <c r="L88" s="29">
        <v>20000.0</v>
      </c>
      <c r="M88" s="29">
        <v>30000.0</v>
      </c>
      <c r="N88" s="29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6">
        <v>22.0</v>
      </c>
      <c r="G89" s="27">
        <v>52600.0</v>
      </c>
      <c r="H89" s="28" t="s">
        <v>87</v>
      </c>
      <c r="I89" s="1"/>
      <c r="J89" s="29">
        <v>0.0</v>
      </c>
      <c r="K89" s="29">
        <v>0.0</v>
      </c>
      <c r="L89" s="29">
        <v>0.0</v>
      </c>
      <c r="M89" s="29">
        <v>0.0</v>
      </c>
      <c r="N89" s="29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6">
        <v>22.0</v>
      </c>
      <c r="G90" s="27">
        <v>52800.0</v>
      </c>
      <c r="H90" s="28" t="s">
        <v>88</v>
      </c>
      <c r="I90" s="1"/>
      <c r="J90" s="29">
        <v>0.0</v>
      </c>
      <c r="K90" s="29">
        <v>0.0</v>
      </c>
      <c r="L90" s="29">
        <v>0.0</v>
      </c>
      <c r="M90" s="29">
        <v>0.0</v>
      </c>
      <c r="N90" s="29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6"/>
      <c r="G91" s="27"/>
      <c r="H91" s="30" t="s">
        <v>89</v>
      </c>
      <c r="I91" s="1"/>
      <c r="J91" s="31">
        <f t="shared" ref="J91:M91" si="25">SUM(J86:J90)</f>
        <v>46336</v>
      </c>
      <c r="K91" s="31">
        <f t="shared" si="25"/>
        <v>111375</v>
      </c>
      <c r="L91" s="31">
        <f t="shared" si="25"/>
        <v>298000</v>
      </c>
      <c r="M91" s="31">
        <f t="shared" si="25"/>
        <v>455000</v>
      </c>
      <c r="N91" s="3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6">
        <v>23.0</v>
      </c>
      <c r="G92" s="27">
        <v>52300.0</v>
      </c>
      <c r="H92" s="28" t="s">
        <v>90</v>
      </c>
      <c r="I92" s="1"/>
      <c r="J92" s="29">
        <v>0.0</v>
      </c>
      <c r="K92" s="29">
        <v>3000.0</v>
      </c>
      <c r="L92" s="29">
        <v>2500.0</v>
      </c>
      <c r="M92" s="29">
        <v>10000.0</v>
      </c>
      <c r="N92" s="29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6">
        <v>23.0</v>
      </c>
      <c r="G93" s="27">
        <v>52700.0</v>
      </c>
      <c r="H93" s="28" t="s">
        <v>91</v>
      </c>
      <c r="I93" s="1"/>
      <c r="J93" s="29">
        <v>0.0</v>
      </c>
      <c r="K93" s="29">
        <v>0.0</v>
      </c>
      <c r="L93" s="29">
        <v>0.0</v>
      </c>
      <c r="M93" s="29">
        <v>0.0</v>
      </c>
      <c r="N93" s="29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6"/>
      <c r="G94" s="21">
        <v>53000.0</v>
      </c>
      <c r="H94" s="22" t="s">
        <v>92</v>
      </c>
      <c r="I94" s="1"/>
      <c r="J94" s="33"/>
      <c r="K94" s="33"/>
      <c r="L94" s="33"/>
      <c r="M94" s="33"/>
      <c r="N94" s="3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6">
        <v>23.0</v>
      </c>
      <c r="G95" s="27">
        <v>53100.0</v>
      </c>
      <c r="H95" s="28" t="s">
        <v>93</v>
      </c>
      <c r="I95" s="1"/>
      <c r="J95" s="29">
        <v>80.0</v>
      </c>
      <c r="K95" s="29">
        <v>280.0</v>
      </c>
      <c r="L95" s="29">
        <v>1000.0</v>
      </c>
      <c r="M95" s="29">
        <v>5000.0</v>
      </c>
      <c r="N95" s="29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6">
        <v>23.0</v>
      </c>
      <c r="G96" s="27">
        <v>53200.0</v>
      </c>
      <c r="H96" s="28" t="s">
        <v>94</v>
      </c>
      <c r="I96" s="1"/>
      <c r="J96" s="29">
        <v>0.0</v>
      </c>
      <c r="K96" s="29">
        <v>0.0</v>
      </c>
      <c r="L96" s="29">
        <v>1000.0</v>
      </c>
      <c r="M96" s="29">
        <v>1000.0</v>
      </c>
      <c r="N96" s="29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6">
        <v>23.0</v>
      </c>
      <c r="G97" s="27">
        <v>53300.0</v>
      </c>
      <c r="H97" s="28" t="s">
        <v>95</v>
      </c>
      <c r="I97" s="1"/>
      <c r="J97" s="29">
        <v>0.0</v>
      </c>
      <c r="K97" s="29">
        <v>30.0</v>
      </c>
      <c r="L97" s="29">
        <v>50.0</v>
      </c>
      <c r="M97" s="29">
        <v>50.0</v>
      </c>
      <c r="N97" s="29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6">
        <v>23.0</v>
      </c>
      <c r="G98" s="27">
        <v>53400.0</v>
      </c>
      <c r="H98" s="28" t="s">
        <v>96</v>
      </c>
      <c r="I98" s="1"/>
      <c r="J98" s="29">
        <v>0.0</v>
      </c>
      <c r="K98" s="29">
        <v>50.0</v>
      </c>
      <c r="L98" s="29">
        <v>100.0</v>
      </c>
      <c r="M98" s="29">
        <v>150.0</v>
      </c>
      <c r="N98" s="29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6">
        <v>23.0</v>
      </c>
      <c r="G99" s="27">
        <v>53500.0</v>
      </c>
      <c r="H99" s="28" t="s">
        <v>97</v>
      </c>
      <c r="I99" s="1"/>
      <c r="J99" s="29">
        <v>0.0</v>
      </c>
      <c r="K99" s="29">
        <v>0.0</v>
      </c>
      <c r="L99" s="29">
        <v>0.0</v>
      </c>
      <c r="M99" s="29">
        <v>0.0</v>
      </c>
      <c r="N99" s="29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6">
        <v>23.0</v>
      </c>
      <c r="G100" s="27">
        <v>53600.0</v>
      </c>
      <c r="H100" s="28" t="s">
        <v>98</v>
      </c>
      <c r="I100" s="1"/>
      <c r="J100" s="29">
        <v>0.0</v>
      </c>
      <c r="K100" s="29">
        <v>0.0</v>
      </c>
      <c r="L100" s="29">
        <v>0.0</v>
      </c>
      <c r="M100" s="29">
        <v>10000.0</v>
      </c>
      <c r="N100" s="29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6">
        <v>23.0</v>
      </c>
      <c r="G101" s="27">
        <v>53700.0</v>
      </c>
      <c r="H101" s="28" t="s">
        <v>99</v>
      </c>
      <c r="I101" s="1"/>
      <c r="J101" s="29">
        <v>0.0</v>
      </c>
      <c r="K101" s="29">
        <v>0.0</v>
      </c>
      <c r="L101" s="29">
        <v>0.0</v>
      </c>
      <c r="M101" s="29">
        <v>0.0</v>
      </c>
      <c r="N101" s="29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6">
        <v>23.0</v>
      </c>
      <c r="G102" s="27">
        <v>53800.0</v>
      </c>
      <c r="H102" s="57" t="s">
        <v>100</v>
      </c>
      <c r="I102" s="1"/>
      <c r="J102" s="29">
        <v>0.0</v>
      </c>
      <c r="K102" s="33">
        <v>725.0</v>
      </c>
      <c r="L102" s="29">
        <v>300.0</v>
      </c>
      <c r="M102" s="29">
        <v>350.0</v>
      </c>
      <c r="N102" s="29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6">
        <v>23.0</v>
      </c>
      <c r="G103" s="27">
        <v>53900.0</v>
      </c>
      <c r="H103" s="28" t="s">
        <v>101</v>
      </c>
      <c r="I103" s="1"/>
      <c r="J103" s="29">
        <v>0.0</v>
      </c>
      <c r="K103" s="29">
        <v>0.0</v>
      </c>
      <c r="L103" s="29">
        <v>0.0</v>
      </c>
      <c r="M103" s="29">
        <v>0.0</v>
      </c>
      <c r="N103" s="29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6"/>
      <c r="G104" s="21">
        <v>55000.0</v>
      </c>
      <c r="H104" s="22" t="s">
        <v>102</v>
      </c>
      <c r="I104" s="1"/>
      <c r="J104" s="33"/>
      <c r="K104" s="33"/>
      <c r="L104" s="33"/>
      <c r="M104" s="33"/>
      <c r="N104" s="3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6">
        <v>23.0</v>
      </c>
      <c r="G105" s="27">
        <v>55100.0</v>
      </c>
      <c r="H105" s="28" t="s">
        <v>103</v>
      </c>
      <c r="I105" s="1"/>
      <c r="J105" s="29">
        <v>875.0</v>
      </c>
      <c r="K105" s="29">
        <v>1000.0</v>
      </c>
      <c r="L105" s="29">
        <v>9000.0</v>
      </c>
      <c r="M105" s="29">
        <v>11000.0</v>
      </c>
      <c r="N105" s="29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6">
        <v>23.0</v>
      </c>
      <c r="G106" s="27">
        <v>55200.0</v>
      </c>
      <c r="H106" s="28" t="s">
        <v>104</v>
      </c>
      <c r="I106" s="1"/>
      <c r="J106" s="29">
        <v>400.0</v>
      </c>
      <c r="K106" s="29">
        <v>500.0</v>
      </c>
      <c r="L106" s="29">
        <v>7000.0</v>
      </c>
      <c r="M106" s="29">
        <v>8000.0</v>
      </c>
      <c r="N106" s="29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6">
        <v>23.0</v>
      </c>
      <c r="G107" s="27">
        <v>55300.0</v>
      </c>
      <c r="H107" s="28" t="s">
        <v>105</v>
      </c>
      <c r="I107" s="1"/>
      <c r="J107" s="29">
        <v>0.0</v>
      </c>
      <c r="K107" s="29">
        <v>0.0</v>
      </c>
      <c r="L107" s="29">
        <v>5600.0</v>
      </c>
      <c r="M107" s="29">
        <v>6000.0</v>
      </c>
      <c r="N107" s="29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6">
        <v>23.0</v>
      </c>
      <c r="G108" s="27">
        <v>55400.0</v>
      </c>
      <c r="H108" s="28" t="s">
        <v>106</v>
      </c>
      <c r="I108" s="1"/>
      <c r="J108" s="29">
        <v>0.0</v>
      </c>
      <c r="K108" s="29">
        <v>0.0</v>
      </c>
      <c r="L108" s="29">
        <v>0.0</v>
      </c>
      <c r="M108" s="29">
        <v>0.0</v>
      </c>
      <c r="N108" s="29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6"/>
      <c r="G109" s="21">
        <v>56000.0</v>
      </c>
      <c r="H109" s="22" t="s">
        <v>107</v>
      </c>
      <c r="I109" s="1"/>
      <c r="J109" s="33"/>
      <c r="K109" s="33"/>
      <c r="L109" s="33"/>
      <c r="M109" s="33"/>
      <c r="N109" s="3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6">
        <v>23.0</v>
      </c>
      <c r="G110" s="27">
        <v>56100.0</v>
      </c>
      <c r="H110" s="28" t="s">
        <v>108</v>
      </c>
      <c r="I110" s="1"/>
      <c r="J110" s="29">
        <v>0.0</v>
      </c>
      <c r="K110" s="29">
        <v>0.0</v>
      </c>
      <c r="L110" s="29">
        <v>6500.0</v>
      </c>
      <c r="M110" s="29">
        <v>6500.0</v>
      </c>
      <c r="N110" s="29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6">
        <v>23.0</v>
      </c>
      <c r="G111" s="27">
        <v>56200.0</v>
      </c>
      <c r="H111" s="28" t="s">
        <v>109</v>
      </c>
      <c r="I111" s="1"/>
      <c r="J111" s="29">
        <v>0.0</v>
      </c>
      <c r="K111" s="29">
        <v>0.0</v>
      </c>
      <c r="L111" s="29">
        <v>4000.0</v>
      </c>
      <c r="M111" s="29">
        <v>5000.0</v>
      </c>
      <c r="N111" s="29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6">
        <v>23.0</v>
      </c>
      <c r="G112" s="27">
        <v>56300.0</v>
      </c>
      <c r="H112" s="28" t="s">
        <v>110</v>
      </c>
      <c r="I112" s="1"/>
      <c r="J112" s="29">
        <v>0.0</v>
      </c>
      <c r="K112" s="29">
        <v>0.0</v>
      </c>
      <c r="L112" s="29">
        <v>2000.0</v>
      </c>
      <c r="M112" s="29">
        <v>2000.0</v>
      </c>
      <c r="N112" s="29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6"/>
      <c r="G113" s="21">
        <v>57000.0</v>
      </c>
      <c r="H113" s="22" t="s">
        <v>111</v>
      </c>
      <c r="I113" s="1"/>
      <c r="J113" s="33"/>
      <c r="K113" s="33"/>
      <c r="L113" s="33"/>
      <c r="M113" s="33"/>
      <c r="N113" s="3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6">
        <v>23.0</v>
      </c>
      <c r="G114" s="27">
        <v>57100.0</v>
      </c>
      <c r="H114" s="28" t="s">
        <v>112</v>
      </c>
      <c r="I114" s="1"/>
      <c r="J114" s="29">
        <v>0.0</v>
      </c>
      <c r="K114" s="29">
        <v>0.0</v>
      </c>
      <c r="L114" s="29">
        <v>0.0</v>
      </c>
      <c r="M114" s="29">
        <v>0.0</v>
      </c>
      <c r="N114" s="29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6">
        <v>23.0</v>
      </c>
      <c r="G115" s="27">
        <v>57200.0</v>
      </c>
      <c r="H115" s="28" t="s">
        <v>113</v>
      </c>
      <c r="I115" s="1"/>
      <c r="J115" s="29">
        <v>0.0</v>
      </c>
      <c r="K115" s="29">
        <v>450.0</v>
      </c>
      <c r="L115" s="29">
        <v>2000.0</v>
      </c>
      <c r="M115" s="29">
        <v>11000.0</v>
      </c>
      <c r="N115" s="29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6">
        <v>23.0</v>
      </c>
      <c r="G116" s="27">
        <v>57300.0</v>
      </c>
      <c r="H116" s="28" t="s">
        <v>114</v>
      </c>
      <c r="I116" s="1"/>
      <c r="J116" s="29">
        <v>0.0</v>
      </c>
      <c r="K116" s="29">
        <v>0.0</v>
      </c>
      <c r="L116" s="29">
        <v>0.0</v>
      </c>
      <c r="M116" s="29">
        <v>0.0</v>
      </c>
      <c r="N116" s="29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6">
        <v>23.0</v>
      </c>
      <c r="G117" s="27">
        <v>57400.0</v>
      </c>
      <c r="H117" s="28" t="s">
        <v>115</v>
      </c>
      <c r="I117" s="1"/>
      <c r="J117" s="29">
        <v>0.0</v>
      </c>
      <c r="K117" s="29">
        <v>0.0</v>
      </c>
      <c r="L117" s="29">
        <v>0.0</v>
      </c>
      <c r="M117" s="29">
        <v>0.0</v>
      </c>
      <c r="N117" s="2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6">
        <v>23.0</v>
      </c>
      <c r="G118" s="27">
        <v>57500.0</v>
      </c>
      <c r="H118" s="28" t="s">
        <v>116</v>
      </c>
      <c r="I118" s="1"/>
      <c r="J118" s="29">
        <v>100.0</v>
      </c>
      <c r="K118" s="29">
        <v>530.0</v>
      </c>
      <c r="L118" s="29">
        <v>6000.0</v>
      </c>
      <c r="M118" s="29">
        <v>10000.0</v>
      </c>
      <c r="N118" s="29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6">
        <v>23.0</v>
      </c>
      <c r="G119" s="27">
        <v>57600.0</v>
      </c>
      <c r="H119" s="28" t="s">
        <v>117</v>
      </c>
      <c r="I119" s="1"/>
      <c r="J119" s="29">
        <v>2303.0</v>
      </c>
      <c r="K119" s="29">
        <v>2670.0</v>
      </c>
      <c r="L119" s="29">
        <v>5000.0</v>
      </c>
      <c r="M119" s="29">
        <v>7500.0</v>
      </c>
      <c r="N119" s="29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hidden="1" customHeight="1">
      <c r="A120" s="1"/>
      <c r="B120" s="1"/>
      <c r="C120" s="1"/>
      <c r="D120" s="1"/>
      <c r="E120" s="1"/>
      <c r="F120" s="6"/>
      <c r="G120" s="27">
        <v>57700.0</v>
      </c>
      <c r="H120" s="28" t="s">
        <v>118</v>
      </c>
      <c r="I120" s="1"/>
      <c r="J120" s="33"/>
      <c r="K120" s="33"/>
      <c r="L120" s="33"/>
      <c r="M120" s="33"/>
      <c r="N120" s="3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6">
        <v>23.0</v>
      </c>
      <c r="G121" s="27">
        <v>51500.0</v>
      </c>
      <c r="H121" s="28" t="s">
        <v>119</v>
      </c>
      <c r="I121" s="1"/>
      <c r="J121" s="33">
        <f>0.15*(J74+J71)</f>
        <v>0</v>
      </c>
      <c r="K121" s="29">
        <v>2250.0</v>
      </c>
      <c r="L121" s="29">
        <v>70725.0</v>
      </c>
      <c r="M121" s="29">
        <v>96600.0</v>
      </c>
      <c r="N121" s="3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6">
        <v>23.0</v>
      </c>
      <c r="G122" s="27">
        <v>57800.0</v>
      </c>
      <c r="H122" s="28" t="s">
        <v>120</v>
      </c>
      <c r="I122" s="1"/>
      <c r="J122" s="29">
        <v>0.0</v>
      </c>
      <c r="K122" s="29">
        <v>0.0</v>
      </c>
      <c r="L122" s="29">
        <v>0.0</v>
      </c>
      <c r="M122" s="29">
        <v>0.0</v>
      </c>
      <c r="N122" s="29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6">
        <v>23.0</v>
      </c>
      <c r="G123" s="27">
        <v>57900.0</v>
      </c>
      <c r="H123" s="28" t="s">
        <v>121</v>
      </c>
      <c r="I123" s="1"/>
      <c r="J123" s="29">
        <v>0.0</v>
      </c>
      <c r="K123" s="29">
        <v>100.0</v>
      </c>
      <c r="L123" s="29">
        <v>200.0</v>
      </c>
      <c r="M123" s="29">
        <v>200.0</v>
      </c>
      <c r="N123" s="29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6"/>
      <c r="G124" s="21">
        <v>60000.0</v>
      </c>
      <c r="H124" s="22" t="s">
        <v>122</v>
      </c>
      <c r="I124" s="1"/>
      <c r="J124" s="33"/>
      <c r="K124" s="33"/>
      <c r="L124" s="33"/>
      <c r="M124" s="33"/>
      <c r="N124" s="3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6">
        <v>23.0</v>
      </c>
      <c r="G125" s="27">
        <v>61000.0</v>
      </c>
      <c r="H125" s="55" t="s">
        <v>123</v>
      </c>
      <c r="I125" s="1"/>
      <c r="J125" s="29">
        <v>0.0</v>
      </c>
      <c r="K125" s="29">
        <v>0.0</v>
      </c>
      <c r="L125" s="29">
        <v>0.0</v>
      </c>
      <c r="M125" s="29">
        <v>0.0</v>
      </c>
      <c r="N125" s="29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6">
        <v>23.0</v>
      </c>
      <c r="G126" s="27">
        <v>61500.0</v>
      </c>
      <c r="H126" s="58" t="s">
        <v>124</v>
      </c>
      <c r="I126" s="1"/>
      <c r="J126" s="29">
        <v>3462.0</v>
      </c>
      <c r="K126" s="29">
        <v>33000.0</v>
      </c>
      <c r="L126" s="29">
        <v>403000.0</v>
      </c>
      <c r="M126" s="29">
        <v>600000.0</v>
      </c>
      <c r="N126" s="29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6">
        <v>23.0</v>
      </c>
      <c r="G127" s="27">
        <v>62000.0</v>
      </c>
      <c r="H127" s="55" t="s">
        <v>125</v>
      </c>
      <c r="I127" s="1"/>
      <c r="J127" s="29">
        <v>0.0</v>
      </c>
      <c r="K127" s="29">
        <v>0.0</v>
      </c>
      <c r="L127" s="29">
        <v>0.0</v>
      </c>
      <c r="M127" s="29">
        <v>0.0</v>
      </c>
      <c r="N127" s="29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6">
        <v>23.0</v>
      </c>
      <c r="G128" s="27">
        <v>62500.0</v>
      </c>
      <c r="H128" s="58" t="s">
        <v>126</v>
      </c>
      <c r="I128" s="1"/>
      <c r="J128" s="29">
        <v>0.0</v>
      </c>
      <c r="K128" s="29">
        <v>0.0</v>
      </c>
      <c r="L128" s="29">
        <v>10000.0</v>
      </c>
      <c r="M128" s="29">
        <v>20000.0</v>
      </c>
      <c r="N128" s="29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6">
        <v>23.0</v>
      </c>
      <c r="G129" s="27">
        <v>63000.0</v>
      </c>
      <c r="H129" s="58" t="s">
        <v>127</v>
      </c>
      <c r="I129" s="1"/>
      <c r="J129" s="29">
        <v>0.0</v>
      </c>
      <c r="K129" s="29">
        <v>0.0</v>
      </c>
      <c r="L129" s="29">
        <v>0.0</v>
      </c>
      <c r="M129" s="29">
        <v>0.0</v>
      </c>
      <c r="N129" s="2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6">
        <v>23.0</v>
      </c>
      <c r="G130" s="27">
        <v>63500.0</v>
      </c>
      <c r="H130" s="58" t="s">
        <v>128</v>
      </c>
      <c r="I130" s="1"/>
      <c r="J130" s="29">
        <v>0.0</v>
      </c>
      <c r="K130" s="29">
        <v>0.0</v>
      </c>
      <c r="L130" s="29">
        <v>20000.0</v>
      </c>
      <c r="M130" s="29">
        <v>50000.0</v>
      </c>
      <c r="N130" s="2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6">
        <v>23.0</v>
      </c>
      <c r="G131" s="27">
        <v>64000.0</v>
      </c>
      <c r="H131" s="55" t="s">
        <v>129</v>
      </c>
      <c r="I131" s="1"/>
      <c r="J131" s="29">
        <v>0.0</v>
      </c>
      <c r="K131" s="29">
        <v>0.0</v>
      </c>
      <c r="L131" s="29">
        <v>0.0</v>
      </c>
      <c r="M131" s="29">
        <v>0.0</v>
      </c>
      <c r="N131" s="2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6">
        <v>23.0</v>
      </c>
      <c r="G132" s="27">
        <v>64500.0</v>
      </c>
      <c r="H132" s="55" t="s">
        <v>130</v>
      </c>
      <c r="I132" s="1"/>
      <c r="J132" s="29">
        <v>0.0</v>
      </c>
      <c r="K132" s="29">
        <v>0.0</v>
      </c>
      <c r="L132" s="29">
        <v>0.0</v>
      </c>
      <c r="M132" s="29">
        <v>0.0</v>
      </c>
      <c r="N132" s="29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6">
        <v>23.0</v>
      </c>
      <c r="G133" s="27">
        <v>65000.0</v>
      </c>
      <c r="H133" s="55" t="s">
        <v>131</v>
      </c>
      <c r="I133" s="1"/>
      <c r="J133" s="29">
        <v>0.0</v>
      </c>
      <c r="K133" s="29">
        <v>0.0</v>
      </c>
      <c r="L133" s="29">
        <v>0.0</v>
      </c>
      <c r="M133" s="29">
        <v>0.0</v>
      </c>
      <c r="N133" s="29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6">
        <v>23.0</v>
      </c>
      <c r="G134" s="27">
        <v>65500.0</v>
      </c>
      <c r="H134" s="55" t="s">
        <v>132</v>
      </c>
      <c r="I134" s="1"/>
      <c r="J134" s="29">
        <v>0.0</v>
      </c>
      <c r="K134" s="29">
        <v>0.0</v>
      </c>
      <c r="L134" s="29">
        <v>0.0</v>
      </c>
      <c r="M134" s="29">
        <v>0.0</v>
      </c>
      <c r="N134" s="29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6">
        <v>23.0</v>
      </c>
      <c r="G135" s="27">
        <v>49150.0</v>
      </c>
      <c r="H135" s="28" t="s">
        <v>133</v>
      </c>
      <c r="I135" s="1"/>
      <c r="J135" s="29">
        <v>0.0</v>
      </c>
      <c r="K135" s="29">
        <v>0.0</v>
      </c>
      <c r="L135" s="29">
        <v>0.0</v>
      </c>
      <c r="M135" s="29">
        <v>0.0</v>
      </c>
      <c r="N135" s="29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6">
        <v>23.0</v>
      </c>
      <c r="G136" s="27">
        <v>49250.0</v>
      </c>
      <c r="H136" s="28" t="s">
        <v>134</v>
      </c>
      <c r="I136" s="1"/>
      <c r="J136" s="29">
        <v>0.0</v>
      </c>
      <c r="K136" s="29">
        <v>0.0</v>
      </c>
      <c r="L136" s="29">
        <v>0.0</v>
      </c>
      <c r="M136" s="29">
        <v>0.0</v>
      </c>
      <c r="N136" s="29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6"/>
      <c r="G137" s="20"/>
      <c r="H137" s="41" t="s">
        <v>135</v>
      </c>
      <c r="I137" s="1"/>
      <c r="J137" s="42">
        <f t="shared" ref="J137:M137" si="26">SUM(J92:J136)</f>
        <v>7220</v>
      </c>
      <c r="K137" s="42">
        <f t="shared" si="26"/>
        <v>44585</v>
      </c>
      <c r="L137" s="42">
        <f t="shared" si="26"/>
        <v>555975</v>
      </c>
      <c r="M137" s="42">
        <f t="shared" si="26"/>
        <v>860350</v>
      </c>
      <c r="N137" s="4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6"/>
      <c r="G138" s="43"/>
      <c r="H138" s="44" t="s">
        <v>136</v>
      </c>
      <c r="I138" s="59"/>
      <c r="J138" s="46">
        <f t="shared" ref="J138:M138" si="27">J137+J91+J84+J76+J73+J69+J67+J60</f>
        <v>53556</v>
      </c>
      <c r="K138" s="46">
        <f t="shared" si="27"/>
        <v>155960</v>
      </c>
      <c r="L138" s="46">
        <f t="shared" si="27"/>
        <v>853975</v>
      </c>
      <c r="M138" s="46">
        <f t="shared" si="27"/>
        <v>1315350</v>
      </c>
      <c r="N138" s="4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6"/>
      <c r="G139" s="1"/>
      <c r="H139" s="1"/>
      <c r="I139" s="1"/>
      <c r="J139" s="60"/>
      <c r="K139" s="60"/>
      <c r="L139" s="60"/>
      <c r="M139" s="60"/>
      <c r="N139" s="60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2"/>
      <c r="G140" s="3"/>
      <c r="H140" s="4" t="s">
        <v>137</v>
      </c>
      <c r="I140" s="3"/>
      <c r="J140" s="61" t="s">
        <v>138</v>
      </c>
      <c r="K140" s="62"/>
      <c r="L140" s="6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6"/>
      <c r="G141" s="23"/>
      <c r="H141" s="1"/>
      <c r="I141" s="1"/>
      <c r="J141" s="60"/>
      <c r="K141" s="60"/>
      <c r="L141" s="60"/>
      <c r="M141" s="60"/>
      <c r="N141" s="60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6"/>
      <c r="G142" s="64"/>
      <c r="H142" s="65"/>
      <c r="I142" s="1"/>
      <c r="J142" s="6" t="s">
        <v>139</v>
      </c>
      <c r="K142" s="60"/>
      <c r="L142" s="60"/>
      <c r="M142" s="60"/>
      <c r="N142" s="60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66"/>
      <c r="G143" s="67" t="s">
        <v>140</v>
      </c>
      <c r="H143" s="28"/>
      <c r="I143" s="68"/>
      <c r="J143" s="69" t="s">
        <v>141</v>
      </c>
      <c r="K143" s="60"/>
      <c r="L143" s="60"/>
      <c r="M143" s="60"/>
      <c r="N143" s="60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70"/>
      <c r="G144" s="21">
        <v>10000.0</v>
      </c>
      <c r="H144" s="22" t="s">
        <v>142</v>
      </c>
      <c r="I144" s="1"/>
      <c r="J144" s="71"/>
      <c r="K144" s="60"/>
      <c r="L144" s="60"/>
      <c r="M144" s="60"/>
      <c r="N144" s="60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70">
        <v>1.0</v>
      </c>
      <c r="G145" s="27">
        <v>10100.0</v>
      </c>
      <c r="H145" s="28" t="s">
        <v>143</v>
      </c>
      <c r="I145" s="1"/>
      <c r="J145" s="72"/>
      <c r="K145" s="60"/>
      <c r="L145" s="60"/>
      <c r="M145" s="60"/>
      <c r="N145" s="60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70">
        <v>1.0</v>
      </c>
      <c r="G146" s="27">
        <v>10300.0</v>
      </c>
      <c r="H146" s="28" t="s">
        <v>144</v>
      </c>
      <c r="I146" s="1"/>
      <c r="J146" s="72"/>
      <c r="K146" s="60"/>
      <c r="L146" s="60"/>
      <c r="M146" s="60"/>
      <c r="N146" s="60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73">
        <v>2.0</v>
      </c>
      <c r="G147" s="21">
        <v>11000.0</v>
      </c>
      <c r="H147" s="22" t="s">
        <v>145</v>
      </c>
      <c r="I147" s="23"/>
      <c r="J147" s="74"/>
      <c r="K147" s="60"/>
      <c r="L147" s="60"/>
      <c r="M147" s="60"/>
      <c r="N147" s="60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73"/>
      <c r="G148" s="21">
        <v>13000.0</v>
      </c>
      <c r="H148" s="22" t="s">
        <v>146</v>
      </c>
      <c r="I148" s="23"/>
      <c r="J148" s="72"/>
      <c r="K148" s="60"/>
      <c r="L148" s="60"/>
      <c r="M148" s="60"/>
      <c r="N148" s="60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70">
        <v>2.0</v>
      </c>
      <c r="G149" s="27">
        <v>13100.0</v>
      </c>
      <c r="H149" s="28" t="s">
        <v>147</v>
      </c>
      <c r="I149" s="1"/>
      <c r="J149" s="72"/>
      <c r="K149" s="60"/>
      <c r="L149" s="60"/>
      <c r="M149" s="60"/>
      <c r="N149" s="60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70">
        <v>6.0</v>
      </c>
      <c r="G150" s="27">
        <v>13200.0</v>
      </c>
      <c r="H150" s="28" t="s">
        <v>148</v>
      </c>
      <c r="I150" s="1"/>
      <c r="J150" s="72"/>
      <c r="K150" s="60"/>
      <c r="L150" s="60"/>
      <c r="M150" s="60"/>
      <c r="N150" s="60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70"/>
      <c r="G151" s="21">
        <v>14000.0</v>
      </c>
      <c r="H151" s="22" t="s">
        <v>149</v>
      </c>
      <c r="I151" s="1"/>
      <c r="J151" s="72"/>
      <c r="K151" s="60"/>
      <c r="L151" s="60"/>
      <c r="M151" s="60"/>
      <c r="N151" s="60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70">
        <v>3.0</v>
      </c>
      <c r="G152" s="27">
        <v>14100.0</v>
      </c>
      <c r="H152" s="28" t="s">
        <v>150</v>
      </c>
      <c r="I152" s="1"/>
      <c r="J152" s="72"/>
      <c r="K152" s="60"/>
      <c r="L152" s="60"/>
      <c r="M152" s="60"/>
      <c r="N152" s="60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70">
        <v>3.0</v>
      </c>
      <c r="G153" s="27">
        <v>14200.0</v>
      </c>
      <c r="H153" s="28" t="s">
        <v>151</v>
      </c>
      <c r="I153" s="1"/>
      <c r="J153" s="72"/>
      <c r="K153" s="60"/>
      <c r="L153" s="60"/>
      <c r="M153" s="60"/>
      <c r="N153" s="60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73"/>
      <c r="G154" s="21">
        <v>15000.0</v>
      </c>
      <c r="H154" s="75" t="s">
        <v>152</v>
      </c>
      <c r="I154" s="76"/>
      <c r="J154" s="72"/>
      <c r="K154" s="60"/>
      <c r="L154" s="60"/>
      <c r="M154" s="60"/>
      <c r="N154" s="60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70"/>
      <c r="G155" s="27">
        <v>15100.0</v>
      </c>
      <c r="H155" s="28" t="s">
        <v>153</v>
      </c>
      <c r="I155" s="1"/>
      <c r="J155" s="72"/>
      <c r="K155" s="60"/>
      <c r="L155" s="60"/>
      <c r="M155" s="60"/>
      <c r="N155" s="60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70">
        <v>7.0</v>
      </c>
      <c r="G156" s="27">
        <v>15400.0</v>
      </c>
      <c r="H156" s="28" t="s">
        <v>154</v>
      </c>
      <c r="I156" s="1"/>
      <c r="J156" s="72"/>
      <c r="K156" s="60"/>
      <c r="L156" s="60"/>
      <c r="M156" s="60"/>
      <c r="N156" s="60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73"/>
      <c r="G157" s="21">
        <v>16000.0</v>
      </c>
      <c r="H157" s="22" t="s">
        <v>155</v>
      </c>
      <c r="I157" s="23"/>
      <c r="J157" s="77"/>
      <c r="K157" s="60"/>
      <c r="L157" s="60"/>
      <c r="M157" s="60"/>
      <c r="N157" s="60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70">
        <v>9.0</v>
      </c>
      <c r="G158" s="27">
        <v>16100.0</v>
      </c>
      <c r="H158" s="28" t="s">
        <v>156</v>
      </c>
      <c r="I158" s="1"/>
      <c r="J158" s="77"/>
      <c r="K158" s="60"/>
      <c r="L158" s="60"/>
      <c r="M158" s="60"/>
      <c r="N158" s="60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70">
        <v>9.0</v>
      </c>
      <c r="G159" s="27">
        <v>16200.0</v>
      </c>
      <c r="H159" s="28" t="s">
        <v>157</v>
      </c>
      <c r="I159" s="1"/>
      <c r="J159" s="77"/>
      <c r="K159" s="60"/>
      <c r="L159" s="60"/>
      <c r="M159" s="60"/>
      <c r="N159" s="60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70">
        <v>8.0</v>
      </c>
      <c r="G160" s="27">
        <v>16250.0</v>
      </c>
      <c r="H160" s="28" t="s">
        <v>158</v>
      </c>
      <c r="I160" s="1"/>
      <c r="J160" s="77"/>
      <c r="K160" s="60"/>
      <c r="L160" s="60"/>
      <c r="M160" s="60"/>
      <c r="N160" s="60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70">
        <v>10.0</v>
      </c>
      <c r="G161" s="27">
        <v>16300.0</v>
      </c>
      <c r="H161" s="28" t="s">
        <v>159</v>
      </c>
      <c r="I161" s="1"/>
      <c r="J161" s="77"/>
      <c r="K161" s="60"/>
      <c r="L161" s="60"/>
      <c r="M161" s="60"/>
      <c r="N161" s="60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70">
        <v>8.0</v>
      </c>
      <c r="G162" s="27">
        <v>16350.0</v>
      </c>
      <c r="H162" s="78" t="s">
        <v>160</v>
      </c>
      <c r="I162" s="1"/>
      <c r="J162" s="77"/>
      <c r="K162" s="60"/>
      <c r="L162" s="60"/>
      <c r="M162" s="60"/>
      <c r="N162" s="60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70">
        <v>10.0</v>
      </c>
      <c r="G163" s="27">
        <v>16400.0</v>
      </c>
      <c r="H163" s="28" t="s">
        <v>161</v>
      </c>
      <c r="I163" s="1"/>
      <c r="J163" s="77"/>
      <c r="K163" s="60"/>
      <c r="L163" s="60"/>
      <c r="M163" s="60"/>
      <c r="N163" s="60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70">
        <v>8.0</v>
      </c>
      <c r="G164" s="27">
        <v>16450.0</v>
      </c>
      <c r="H164" s="78" t="s">
        <v>162</v>
      </c>
      <c r="I164" s="1"/>
      <c r="J164" s="77"/>
      <c r="K164" s="60"/>
      <c r="L164" s="60"/>
      <c r="M164" s="60"/>
      <c r="N164" s="60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70">
        <v>10.0</v>
      </c>
      <c r="G165" s="27">
        <v>16500.0</v>
      </c>
      <c r="H165" s="28" t="s">
        <v>163</v>
      </c>
      <c r="I165" s="1"/>
      <c r="J165" s="77"/>
      <c r="K165" s="60"/>
      <c r="L165" s="60"/>
      <c r="M165" s="60"/>
      <c r="N165" s="60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70">
        <v>8.0</v>
      </c>
      <c r="G166" s="27">
        <v>16550.0</v>
      </c>
      <c r="H166" s="78" t="s">
        <v>164</v>
      </c>
      <c r="I166" s="1"/>
      <c r="J166" s="77"/>
      <c r="K166" s="60"/>
      <c r="L166" s="60"/>
      <c r="M166" s="60"/>
      <c r="N166" s="60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70">
        <v>10.0</v>
      </c>
      <c r="G167" s="27">
        <v>16600.0</v>
      </c>
      <c r="H167" s="28" t="s">
        <v>165</v>
      </c>
      <c r="I167" s="1"/>
      <c r="J167" s="77"/>
      <c r="K167" s="60"/>
      <c r="L167" s="60"/>
      <c r="M167" s="60"/>
      <c r="N167" s="60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70">
        <v>8.0</v>
      </c>
      <c r="G168" s="27">
        <v>16650.0</v>
      </c>
      <c r="H168" s="78" t="s">
        <v>166</v>
      </c>
      <c r="I168" s="1"/>
      <c r="J168" s="77"/>
      <c r="K168" s="60"/>
      <c r="L168" s="60"/>
      <c r="M168" s="60"/>
      <c r="N168" s="60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70">
        <v>10.0</v>
      </c>
      <c r="G169" s="27">
        <v>16700.0</v>
      </c>
      <c r="H169" s="28" t="s">
        <v>167</v>
      </c>
      <c r="I169" s="1"/>
      <c r="J169" s="77"/>
      <c r="K169" s="60"/>
      <c r="L169" s="60"/>
      <c r="M169" s="60"/>
      <c r="N169" s="60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70"/>
      <c r="G170" s="27"/>
      <c r="H170" s="22" t="s">
        <v>168</v>
      </c>
      <c r="I170" s="1"/>
      <c r="J170" s="72"/>
      <c r="K170" s="60"/>
      <c r="L170" s="60"/>
      <c r="M170" s="60"/>
      <c r="N170" s="60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70"/>
      <c r="G171" s="27"/>
      <c r="H171" s="28"/>
      <c r="I171" s="1"/>
      <c r="J171" s="72"/>
      <c r="K171" s="60"/>
      <c r="L171" s="60"/>
      <c r="M171" s="60"/>
      <c r="N171" s="60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70"/>
      <c r="G172" s="79" t="s">
        <v>169</v>
      </c>
      <c r="H172" s="28"/>
      <c r="I172" s="1"/>
      <c r="J172" s="72"/>
      <c r="K172" s="60"/>
      <c r="L172" s="60"/>
      <c r="M172" s="60"/>
      <c r="N172" s="60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70"/>
      <c r="G173" s="21">
        <v>20000.0</v>
      </c>
      <c r="H173" s="22" t="s">
        <v>170</v>
      </c>
      <c r="I173" s="1"/>
      <c r="J173" s="72"/>
      <c r="K173" s="60"/>
      <c r="L173" s="60"/>
      <c r="M173" s="60"/>
      <c r="N173" s="60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70">
        <v>12.0</v>
      </c>
      <c r="G174" s="27">
        <v>20100.0</v>
      </c>
      <c r="H174" s="28" t="s">
        <v>171</v>
      </c>
      <c r="I174" s="1"/>
      <c r="J174" s="72"/>
      <c r="K174" s="60"/>
      <c r="L174" s="60"/>
      <c r="M174" s="60"/>
      <c r="N174" s="60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70"/>
      <c r="G175" s="21">
        <v>21000.0</v>
      </c>
      <c r="H175" s="22" t="s">
        <v>172</v>
      </c>
      <c r="I175" s="1"/>
      <c r="J175" s="72"/>
      <c r="K175" s="60"/>
      <c r="L175" s="60"/>
      <c r="M175" s="60"/>
      <c r="N175" s="60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70">
        <v>15.0</v>
      </c>
      <c r="G176" s="27">
        <v>21100.0</v>
      </c>
      <c r="H176" s="28" t="s">
        <v>173</v>
      </c>
      <c r="I176" s="1"/>
      <c r="J176" s="72"/>
      <c r="K176" s="60"/>
      <c r="L176" s="60"/>
      <c r="M176" s="60"/>
      <c r="N176" s="60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70">
        <v>15.0</v>
      </c>
      <c r="G177" s="27">
        <v>21200.0</v>
      </c>
      <c r="H177" s="28" t="s">
        <v>174</v>
      </c>
      <c r="I177" s="1"/>
      <c r="J177" s="72"/>
      <c r="K177" s="60"/>
      <c r="L177" s="60"/>
      <c r="M177" s="60"/>
      <c r="N177" s="60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70">
        <v>15.0</v>
      </c>
      <c r="G178" s="27">
        <v>21300.0</v>
      </c>
      <c r="H178" s="28" t="s">
        <v>175</v>
      </c>
      <c r="I178" s="1"/>
      <c r="J178" s="72"/>
      <c r="K178" s="60"/>
      <c r="L178" s="60"/>
      <c r="M178" s="60"/>
      <c r="N178" s="60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70">
        <v>15.0</v>
      </c>
      <c r="G179" s="27">
        <v>21400.0</v>
      </c>
      <c r="H179" s="28" t="s">
        <v>176</v>
      </c>
      <c r="I179" s="1"/>
      <c r="J179" s="72"/>
      <c r="K179" s="60"/>
      <c r="L179" s="60"/>
      <c r="M179" s="60"/>
      <c r="N179" s="60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70">
        <v>15.0</v>
      </c>
      <c r="G180" s="27">
        <v>21500.0</v>
      </c>
      <c r="H180" s="28" t="s">
        <v>177</v>
      </c>
      <c r="I180" s="1"/>
      <c r="J180" s="72"/>
      <c r="K180" s="60"/>
      <c r="L180" s="60"/>
      <c r="M180" s="60"/>
      <c r="N180" s="60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73"/>
      <c r="G181" s="21">
        <v>24000.0</v>
      </c>
      <c r="H181" s="22" t="s">
        <v>178</v>
      </c>
      <c r="I181" s="23"/>
      <c r="J181" s="72"/>
      <c r="K181" s="60"/>
      <c r="L181" s="60"/>
      <c r="M181" s="60"/>
      <c r="N181" s="60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70">
        <v>15.0</v>
      </c>
      <c r="G182" s="27">
        <v>24100.0</v>
      </c>
      <c r="H182" s="28" t="s">
        <v>179</v>
      </c>
      <c r="I182" s="1"/>
      <c r="J182" s="72"/>
      <c r="K182" s="60"/>
      <c r="L182" s="60"/>
      <c r="M182" s="60"/>
      <c r="N182" s="60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70">
        <v>15.0</v>
      </c>
      <c r="G183" s="27">
        <v>24400.0</v>
      </c>
      <c r="H183" s="28" t="s">
        <v>180</v>
      </c>
      <c r="I183" s="1"/>
      <c r="J183" s="72"/>
      <c r="K183" s="60"/>
      <c r="L183" s="60"/>
      <c r="M183" s="60"/>
      <c r="N183" s="60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73"/>
      <c r="G184" s="21">
        <v>25000.0</v>
      </c>
      <c r="H184" s="22" t="s">
        <v>181</v>
      </c>
      <c r="I184" s="23"/>
      <c r="J184" s="72"/>
      <c r="K184" s="60"/>
      <c r="L184" s="60"/>
      <c r="M184" s="60"/>
      <c r="N184" s="60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70">
        <v>15.0</v>
      </c>
      <c r="G185" s="27">
        <v>25100.0</v>
      </c>
      <c r="H185" s="28" t="s">
        <v>182</v>
      </c>
      <c r="I185" s="1"/>
      <c r="J185" s="72"/>
      <c r="K185" s="60"/>
      <c r="L185" s="60"/>
      <c r="M185" s="60"/>
      <c r="N185" s="60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70">
        <v>14.0</v>
      </c>
      <c r="G186" s="27">
        <v>25300.0</v>
      </c>
      <c r="H186" s="28" t="s">
        <v>183</v>
      </c>
      <c r="I186" s="1"/>
      <c r="J186" s="72"/>
      <c r="K186" s="60"/>
      <c r="L186" s="60"/>
      <c r="M186" s="60"/>
      <c r="N186" s="60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70">
        <v>15.0</v>
      </c>
      <c r="G187" s="27">
        <v>25400.0</v>
      </c>
      <c r="H187" s="28" t="s">
        <v>184</v>
      </c>
      <c r="I187" s="1"/>
      <c r="J187" s="72"/>
      <c r="K187" s="60"/>
      <c r="L187" s="60"/>
      <c r="M187" s="60"/>
      <c r="N187" s="60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70">
        <v>15.0</v>
      </c>
      <c r="G188" s="27">
        <v>25500.0</v>
      </c>
      <c r="H188" s="28" t="s">
        <v>185</v>
      </c>
      <c r="I188" s="1"/>
      <c r="J188" s="72"/>
      <c r="K188" s="60"/>
      <c r="L188" s="60"/>
      <c r="M188" s="60"/>
      <c r="N188" s="60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70"/>
      <c r="G189" s="27"/>
      <c r="H189" s="22" t="s">
        <v>186</v>
      </c>
      <c r="I189" s="1"/>
      <c r="J189" s="72"/>
      <c r="K189" s="60"/>
      <c r="L189" s="60"/>
      <c r="M189" s="60"/>
      <c r="N189" s="60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70"/>
      <c r="G190" s="27"/>
      <c r="H190" s="28"/>
      <c r="I190" s="1"/>
      <c r="J190" s="72"/>
      <c r="K190" s="60"/>
      <c r="L190" s="60"/>
      <c r="M190" s="60"/>
      <c r="N190" s="60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70"/>
      <c r="G191" s="80" t="s">
        <v>187</v>
      </c>
      <c r="H191" s="28"/>
      <c r="I191" s="1"/>
      <c r="J191" s="72"/>
      <c r="K191" s="60"/>
      <c r="L191" s="60"/>
      <c r="M191" s="60"/>
      <c r="N191" s="60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70"/>
      <c r="G192" s="27"/>
      <c r="H192" s="28"/>
      <c r="I192" s="1"/>
      <c r="J192" s="72"/>
      <c r="K192" s="60"/>
      <c r="L192" s="60"/>
      <c r="M192" s="60"/>
      <c r="N192" s="60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70"/>
      <c r="G193" s="21">
        <v>30000.0</v>
      </c>
      <c r="H193" s="22" t="s">
        <v>188</v>
      </c>
      <c r="I193" s="1"/>
      <c r="J193" s="72"/>
      <c r="K193" s="60"/>
      <c r="L193" s="60"/>
      <c r="M193" s="60"/>
      <c r="N193" s="60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70"/>
      <c r="G194" s="27">
        <v>30100.0</v>
      </c>
      <c r="H194" s="28" t="s">
        <v>188</v>
      </c>
      <c r="I194" s="1"/>
      <c r="J194" s="81"/>
      <c r="K194" s="60"/>
      <c r="L194" s="60"/>
      <c r="M194" s="60"/>
      <c r="N194" s="60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70"/>
      <c r="G195" s="27">
        <v>30200.0</v>
      </c>
      <c r="H195" s="28" t="s">
        <v>189</v>
      </c>
      <c r="I195" s="1"/>
      <c r="J195" s="72"/>
      <c r="K195" s="60"/>
      <c r="L195" s="60"/>
      <c r="M195" s="60"/>
      <c r="N195" s="60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70"/>
      <c r="G196" s="27">
        <v>30300.0</v>
      </c>
      <c r="H196" s="28" t="s">
        <v>190</v>
      </c>
      <c r="I196" s="1"/>
      <c r="J196" s="72"/>
      <c r="K196" s="60"/>
      <c r="L196" s="60"/>
      <c r="M196" s="60"/>
      <c r="N196" s="60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70"/>
      <c r="G197" s="27">
        <v>30400.0</v>
      </c>
      <c r="H197" s="28" t="s">
        <v>191</v>
      </c>
      <c r="I197" s="1"/>
      <c r="J197" s="72"/>
      <c r="K197" s="60"/>
      <c r="L197" s="60"/>
      <c r="M197" s="60"/>
      <c r="N197" s="60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70"/>
      <c r="G198" s="27"/>
      <c r="H198" s="28"/>
      <c r="I198" s="1"/>
      <c r="J198" s="72"/>
      <c r="K198" s="60"/>
      <c r="L198" s="60"/>
      <c r="M198" s="60"/>
      <c r="N198" s="60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70"/>
      <c r="G199" s="21">
        <v>31000.0</v>
      </c>
      <c r="H199" s="22" t="s">
        <v>192</v>
      </c>
      <c r="I199" s="1"/>
      <c r="J199" s="72"/>
      <c r="K199" s="60"/>
      <c r="L199" s="60"/>
      <c r="M199" s="60"/>
      <c r="N199" s="60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70"/>
      <c r="G200" s="27">
        <v>31100.0</v>
      </c>
      <c r="H200" s="28" t="s">
        <v>193</v>
      </c>
      <c r="I200" s="1"/>
      <c r="J200" s="72"/>
      <c r="K200" s="60"/>
      <c r="L200" s="60"/>
      <c r="M200" s="60"/>
      <c r="N200" s="60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70"/>
      <c r="G201" s="27">
        <v>31200.0</v>
      </c>
      <c r="H201" s="28" t="s">
        <v>194</v>
      </c>
      <c r="I201" s="1"/>
      <c r="J201" s="72"/>
      <c r="K201" s="60"/>
      <c r="L201" s="60"/>
      <c r="M201" s="60"/>
      <c r="N201" s="60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70"/>
      <c r="G202" s="27"/>
      <c r="H202" s="28"/>
      <c r="I202" s="1"/>
      <c r="J202" s="72"/>
      <c r="K202" s="60"/>
      <c r="L202" s="60"/>
      <c r="M202" s="60"/>
      <c r="N202" s="60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70"/>
      <c r="G203" s="21">
        <v>32000.0</v>
      </c>
      <c r="H203" s="22" t="s">
        <v>195</v>
      </c>
      <c r="I203" s="1"/>
      <c r="J203" s="72"/>
      <c r="K203" s="60"/>
      <c r="L203" s="60"/>
      <c r="M203" s="60"/>
      <c r="N203" s="60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70"/>
      <c r="G204" s="82">
        <v>32100.0</v>
      </c>
      <c r="H204" s="27" t="s">
        <v>196</v>
      </c>
      <c r="I204" s="1"/>
      <c r="J204" s="72"/>
      <c r="K204" s="60"/>
      <c r="L204" s="60"/>
      <c r="M204" s="60"/>
      <c r="N204" s="60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83"/>
      <c r="G205" s="84"/>
      <c r="H205" s="79" t="s">
        <v>197</v>
      </c>
      <c r="I205" s="64"/>
      <c r="J205" s="72"/>
      <c r="K205" s="60"/>
      <c r="L205" s="60"/>
      <c r="M205" s="60"/>
      <c r="N205" s="60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J140:L140"/>
  </mergeCells>
  <printOptions/>
  <pageMargins bottom="0.5" footer="0.0" header="0.0" left="0.25" right="0.25" top="1.5"/>
  <pageSetup fitToHeight="0" orientation="portrait"/>
  <headerFooter>
    <oddHeader>&amp;C FORM 1023, PART IX, PAGE 13 &amp;&amp; 14 FINANCIAL DATA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54.63"/>
    <col customWidth="1" min="3" max="3" width="16.25"/>
    <col customWidth="1" min="4" max="4" width="15.0"/>
    <col customWidth="1" min="5" max="5" width="15.25"/>
    <col customWidth="1" min="6" max="7" width="14.38"/>
    <col customWidth="1" min="8" max="26" width="6.63"/>
  </cols>
  <sheetData>
    <row r="1" ht="39.0" customHeight="1">
      <c r="A1" s="85" t="s">
        <v>198</v>
      </c>
      <c r="B1" s="86"/>
      <c r="C1" s="87" t="s">
        <v>199</v>
      </c>
      <c r="D1" s="88" t="s">
        <v>200</v>
      </c>
      <c r="E1" s="88" t="s">
        <v>201</v>
      </c>
      <c r="F1" s="88" t="s">
        <v>202</v>
      </c>
      <c r="G1" s="88" t="s">
        <v>203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89"/>
      <c r="B2" s="1"/>
      <c r="C2" s="18"/>
      <c r="D2" s="19"/>
      <c r="E2" s="19"/>
      <c r="F2" s="19"/>
      <c r="G2" s="1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89"/>
      <c r="B3" s="1"/>
      <c r="C3" s="18"/>
      <c r="D3" s="19"/>
      <c r="E3" s="19"/>
      <c r="F3" s="19"/>
      <c r="G3" s="1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89" t="s">
        <v>204</v>
      </c>
      <c r="B4" s="90" t="s">
        <v>205</v>
      </c>
      <c r="C4" s="91"/>
      <c r="D4" s="92"/>
      <c r="E4" s="92"/>
      <c r="F4" s="92"/>
      <c r="G4" s="9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89"/>
      <c r="B5" s="93" t="s">
        <v>206</v>
      </c>
      <c r="C5" s="94">
        <v>0.0</v>
      </c>
      <c r="D5" s="95">
        <v>0.0</v>
      </c>
      <c r="E5" s="95">
        <v>0.0</v>
      </c>
      <c r="F5" s="95">
        <v>150000.0</v>
      </c>
      <c r="G5" s="95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89"/>
      <c r="B6" s="96" t="s">
        <v>207</v>
      </c>
      <c r="C6" s="97">
        <v>0.0</v>
      </c>
      <c r="D6" s="77">
        <v>15000.0</v>
      </c>
      <c r="E6" s="77">
        <v>110000.0</v>
      </c>
      <c r="F6" s="77">
        <v>110000.0</v>
      </c>
      <c r="G6" s="7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89"/>
      <c r="B7" s="96" t="s">
        <v>208</v>
      </c>
      <c r="C7" s="97"/>
      <c r="D7" s="77"/>
      <c r="E7" s="77"/>
      <c r="F7" s="77"/>
      <c r="G7" s="7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89"/>
      <c r="B8" s="96" t="s">
        <v>209</v>
      </c>
      <c r="C8" s="97">
        <v>0.0</v>
      </c>
      <c r="D8" s="77">
        <v>0.0</v>
      </c>
      <c r="E8" s="77">
        <v>100000.0</v>
      </c>
      <c r="F8" s="77">
        <v>100000.0</v>
      </c>
      <c r="G8" s="7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89"/>
      <c r="B9" s="98" t="s">
        <v>209</v>
      </c>
      <c r="C9" s="99">
        <v>0.0</v>
      </c>
      <c r="D9" s="100">
        <v>0.0</v>
      </c>
      <c r="E9" s="100">
        <v>100000.0</v>
      </c>
      <c r="F9" s="100">
        <v>100000.0</v>
      </c>
      <c r="G9" s="10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89"/>
      <c r="B10" s="1"/>
      <c r="C10" s="102"/>
      <c r="D10" s="101"/>
      <c r="E10" s="101"/>
      <c r="F10" s="101"/>
      <c r="G10" s="10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03">
        <v>51100.0</v>
      </c>
      <c r="B11" s="104" t="s">
        <v>210</v>
      </c>
      <c r="C11" s="105">
        <f t="shared" ref="C11:G11" si="1">SUM(C5:C10)</f>
        <v>0</v>
      </c>
      <c r="D11" s="106">
        <f t="shared" si="1"/>
        <v>15000</v>
      </c>
      <c r="E11" s="106">
        <f t="shared" si="1"/>
        <v>310000</v>
      </c>
      <c r="F11" s="106">
        <f t="shared" si="1"/>
        <v>460000</v>
      </c>
      <c r="G11" s="106">
        <f t="shared" si="1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89"/>
      <c r="B12" s="1"/>
      <c r="C12" s="102"/>
      <c r="D12" s="101"/>
      <c r="E12" s="101"/>
      <c r="F12" s="101"/>
      <c r="G12" s="10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89" t="s">
        <v>211</v>
      </c>
      <c r="B13" s="90" t="s">
        <v>212</v>
      </c>
      <c r="C13" s="91"/>
      <c r="D13" s="92"/>
      <c r="E13" s="92"/>
      <c r="F13" s="92"/>
      <c r="G13" s="9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89"/>
      <c r="B14" s="107"/>
      <c r="C14" s="91"/>
      <c r="D14" s="92"/>
      <c r="E14" s="92"/>
      <c r="F14" s="92"/>
      <c r="G14" s="9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89"/>
      <c r="B15" s="108" t="s">
        <v>213</v>
      </c>
      <c r="C15" s="109"/>
      <c r="D15" s="72"/>
      <c r="E15" s="72"/>
      <c r="F15" s="72"/>
      <c r="G15" s="7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89"/>
      <c r="B16" s="108" t="s">
        <v>213</v>
      </c>
      <c r="C16" s="109"/>
      <c r="D16" s="72"/>
      <c r="E16" s="72"/>
      <c r="F16" s="72"/>
      <c r="G16" s="7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89"/>
      <c r="B17" s="108" t="s">
        <v>213</v>
      </c>
      <c r="C17" s="109"/>
      <c r="D17" s="72"/>
      <c r="E17" s="72"/>
      <c r="F17" s="72"/>
      <c r="G17" s="7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89"/>
      <c r="B18" s="1"/>
      <c r="C18" s="91"/>
      <c r="D18" s="92"/>
      <c r="E18" s="92"/>
      <c r="F18" s="92"/>
      <c r="G18" s="9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03">
        <v>51200.0</v>
      </c>
      <c r="B19" s="104" t="s">
        <v>214</v>
      </c>
      <c r="C19" s="110">
        <f t="shared" ref="C19:G19" si="2">SUM(C14:C18)</f>
        <v>0</v>
      </c>
      <c r="D19" s="110">
        <f t="shared" si="2"/>
        <v>0</v>
      </c>
      <c r="E19" s="111">
        <f t="shared" si="2"/>
        <v>0</v>
      </c>
      <c r="F19" s="111">
        <f t="shared" si="2"/>
        <v>0</v>
      </c>
      <c r="G19" s="111">
        <f t="shared" si="2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12"/>
      <c r="D20" s="112"/>
      <c r="E20" s="11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112"/>
      <c r="D21" s="112"/>
      <c r="E21" s="11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112"/>
      <c r="D22" s="112"/>
      <c r="E22" s="11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"/>
      <c r="C23" s="112"/>
      <c r="D23" s="112"/>
      <c r="E23" s="11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>
        <f t="shared" ref="D147:G147" si="3">SUM(D43:D146)</f>
        <v>0</v>
      </c>
      <c r="E147" s="1">
        <f t="shared" si="3"/>
        <v>0</v>
      </c>
      <c r="F147" s="1">
        <f t="shared" si="3"/>
        <v>0</v>
      </c>
      <c r="G147" s="1">
        <f t="shared" si="3"/>
        <v>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B1"/>
  </mergeCells>
  <printOptions/>
  <pageMargins bottom="0.5" footer="0.0" header="0.0" left="0.25" right="0.25" top="1.5"/>
  <pageSetup scale="88" orientation="portrait"/>
  <headerFooter>
    <oddHeader>&amp;C  FORM 1023, PART IX, PAGE 13 &amp;&amp; 14 FINANCIAL DATA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9.25"/>
    <col customWidth="1" hidden="1" min="2" max="5" width="10.25"/>
    <col customWidth="1" min="6" max="6" width="7.75"/>
    <col customWidth="1" min="7" max="7" width="6.75"/>
    <col customWidth="1" min="8" max="8" width="46.0"/>
    <col customWidth="1" min="9" max="9" width="2.0"/>
    <col customWidth="1" min="10" max="10" width="15.63"/>
    <col customWidth="1" min="11" max="11" width="13.25"/>
    <col customWidth="1" min="12" max="12" width="12.63"/>
    <col customWidth="1" min="13" max="13" width="15.25"/>
    <col customWidth="1" min="14" max="26" width="9.25"/>
  </cols>
  <sheetData>
    <row r="1" ht="12.0" customHeight="1">
      <c r="A1" s="1"/>
      <c r="B1" s="1"/>
      <c r="C1" s="1"/>
      <c r="D1" s="1"/>
      <c r="E1" s="1"/>
      <c r="F1" s="2"/>
      <c r="G1" s="3"/>
      <c r="H1" s="4" t="s">
        <v>0</v>
      </c>
      <c r="I1" s="3"/>
      <c r="J1" s="5" t="s">
        <v>215</v>
      </c>
      <c r="K1" s="5"/>
      <c r="L1" s="5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1"/>
      <c r="F2" s="6"/>
      <c r="G2" s="1"/>
      <c r="H2" s="1"/>
      <c r="I2" s="1"/>
      <c r="J2" s="7" t="s">
        <v>4</v>
      </c>
      <c r="K2" s="8" t="s">
        <v>4</v>
      </c>
      <c r="L2" s="9" t="s">
        <v>4</v>
      </c>
      <c r="M2" s="9" t="s">
        <v>4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6"/>
      <c r="G3" s="1"/>
      <c r="H3" s="1"/>
      <c r="I3" s="1"/>
      <c r="J3" s="10">
        <v>43831.0</v>
      </c>
      <c r="K3" s="11">
        <v>44197.0</v>
      </c>
      <c r="L3" s="12">
        <v>44562.0</v>
      </c>
      <c r="M3" s="12">
        <v>44927.0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6"/>
      <c r="G4" s="13"/>
      <c r="H4" s="13"/>
      <c r="I4" s="1"/>
      <c r="J4" s="14">
        <v>44196.0</v>
      </c>
      <c r="K4" s="15">
        <v>44561.0</v>
      </c>
      <c r="L4" s="16">
        <v>44926.0</v>
      </c>
      <c r="M4" s="16">
        <v>45291.0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1"/>
      <c r="C5" s="1"/>
      <c r="D5" s="1"/>
      <c r="E5" s="1"/>
      <c r="F5" s="6"/>
      <c r="G5" s="17"/>
      <c r="H5" s="17" t="s">
        <v>7</v>
      </c>
      <c r="I5" s="1"/>
      <c r="J5" s="18"/>
      <c r="K5" s="19"/>
      <c r="L5" s="20"/>
      <c r="M5" s="2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0" customHeight="1">
      <c r="A6" s="1"/>
      <c r="B6" s="1" t="s">
        <v>8</v>
      </c>
      <c r="C6" s="1"/>
      <c r="D6" s="1"/>
      <c r="E6" s="1"/>
      <c r="F6" s="13"/>
      <c r="G6" s="21">
        <v>40000.0</v>
      </c>
      <c r="H6" s="22" t="s">
        <v>9</v>
      </c>
      <c r="I6" s="23"/>
      <c r="J6" s="24"/>
      <c r="K6" s="24"/>
      <c r="L6" s="24"/>
      <c r="M6" s="2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0" customHeight="1">
      <c r="A7" s="1">
        <v>1.0</v>
      </c>
      <c r="B7" s="26">
        <f>J7+J8</f>
        <v>0</v>
      </c>
      <c r="C7" s="26" t="str">
        <f>#REF!+#REF!</f>
        <v>#REF!</v>
      </c>
      <c r="D7" s="26">
        <f t="shared" ref="D7:E7" si="1">K7+K8</f>
        <v>0</v>
      </c>
      <c r="E7" s="26">
        <f t="shared" si="1"/>
        <v>0</v>
      </c>
      <c r="F7" s="6">
        <v>1.0</v>
      </c>
      <c r="G7" s="27">
        <v>40100.0</v>
      </c>
      <c r="H7" s="28" t="s">
        <v>10</v>
      </c>
      <c r="I7" s="1"/>
      <c r="J7" s="24"/>
      <c r="K7" s="24"/>
      <c r="L7" s="24"/>
      <c r="M7" s="2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0" customHeight="1">
      <c r="A8" s="1">
        <v>2.0</v>
      </c>
      <c r="B8" s="26" t="str">
        <f>J11</f>
        <v/>
      </c>
      <c r="C8" s="26" t="str">
        <f t="shared" ref="C8:C9" si="3">#REF!</f>
        <v>#REF!</v>
      </c>
      <c r="D8" s="26" t="str">
        <f t="shared" ref="D8:E8" si="2">K11</f>
        <v/>
      </c>
      <c r="E8" s="26" t="str">
        <f t="shared" si="2"/>
        <v/>
      </c>
      <c r="F8" s="6">
        <v>1.0</v>
      </c>
      <c r="G8" s="27">
        <v>40200.0</v>
      </c>
      <c r="H8" s="28" t="s">
        <v>11</v>
      </c>
      <c r="I8" s="1"/>
      <c r="J8" s="24"/>
      <c r="K8" s="24"/>
      <c r="L8" s="24"/>
      <c r="M8" s="2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0" customHeight="1">
      <c r="A9" s="1">
        <v>3.0</v>
      </c>
      <c r="B9" s="26" t="str">
        <f>J13</f>
        <v/>
      </c>
      <c r="C9" s="26" t="str">
        <f t="shared" si="3"/>
        <v>#REF!</v>
      </c>
      <c r="D9" s="26" t="str">
        <f t="shared" ref="D9:E9" si="4">K13</f>
        <v/>
      </c>
      <c r="E9" s="26" t="str">
        <f t="shared" si="4"/>
        <v/>
      </c>
      <c r="F9" s="6"/>
      <c r="G9" s="27"/>
      <c r="H9" s="30" t="s">
        <v>12</v>
      </c>
      <c r="I9" s="1"/>
      <c r="J9" s="113">
        <f t="shared" ref="J9:M9" si="5">SUM(J7:J8)</f>
        <v>0</v>
      </c>
      <c r="K9" s="113">
        <f t="shared" si="5"/>
        <v>0</v>
      </c>
      <c r="L9" s="113">
        <f t="shared" si="5"/>
        <v>0</v>
      </c>
      <c r="M9" s="113">
        <f t="shared" si="5"/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1"/>
      <c r="C10" s="1"/>
      <c r="D10" s="1"/>
      <c r="E10" s="1"/>
      <c r="F10" s="6"/>
      <c r="G10" s="21">
        <v>46000.0</v>
      </c>
      <c r="H10" s="22" t="s">
        <v>13</v>
      </c>
      <c r="I10" s="1"/>
      <c r="J10" s="24"/>
      <c r="K10" s="24"/>
      <c r="L10" s="24"/>
      <c r="M10" s="2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1"/>
      <c r="C11" s="1"/>
      <c r="D11" s="1"/>
      <c r="E11" s="1"/>
      <c r="F11" s="6">
        <v>2.0</v>
      </c>
      <c r="G11" s="27">
        <v>46100.0</v>
      </c>
      <c r="H11" s="28" t="s">
        <v>216</v>
      </c>
      <c r="I11" s="1"/>
      <c r="J11" s="113"/>
      <c r="K11" s="113"/>
      <c r="L11" s="113"/>
      <c r="M11" s="11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0" customHeight="1">
      <c r="A12" s="1"/>
      <c r="B12" s="1"/>
      <c r="C12" s="1"/>
      <c r="D12" s="1"/>
      <c r="E12" s="1"/>
      <c r="F12" s="13"/>
      <c r="G12" s="21">
        <v>48000.0</v>
      </c>
      <c r="H12" s="22" t="s">
        <v>15</v>
      </c>
      <c r="I12" s="23"/>
      <c r="J12" s="24"/>
      <c r="K12" s="24"/>
      <c r="L12" s="24"/>
      <c r="M12" s="2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1"/>
      <c r="C13" s="1"/>
      <c r="D13" s="1"/>
      <c r="E13" s="1"/>
      <c r="F13" s="6">
        <v>3.0</v>
      </c>
      <c r="G13" s="27">
        <v>48100.0</v>
      </c>
      <c r="H13" s="28" t="s">
        <v>16</v>
      </c>
      <c r="I13" s="1"/>
      <c r="J13" s="113"/>
      <c r="K13" s="113"/>
      <c r="L13" s="113"/>
      <c r="M13" s="11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1"/>
      <c r="C14" s="1"/>
      <c r="D14" s="1"/>
      <c r="E14" s="1"/>
      <c r="F14" s="6">
        <v>4.0</v>
      </c>
      <c r="G14" s="27">
        <v>49500.0</v>
      </c>
      <c r="H14" s="34" t="s">
        <v>17</v>
      </c>
      <c r="I14" s="1"/>
      <c r="J14" s="114"/>
      <c r="K14" s="114"/>
      <c r="L14" s="114"/>
      <c r="M14" s="1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>
        <v>4.0</v>
      </c>
      <c r="B15" s="26" t="str">
        <f>J14</f>
        <v/>
      </c>
      <c r="C15" s="26" t="str">
        <f>#REF!</f>
        <v>#REF!</v>
      </c>
      <c r="D15" s="26" t="str">
        <f t="shared" ref="D15:E15" si="6">K14</f>
        <v/>
      </c>
      <c r="E15" s="26" t="str">
        <f t="shared" si="6"/>
        <v/>
      </c>
      <c r="F15" s="13"/>
      <c r="G15" s="21">
        <v>41000.0</v>
      </c>
      <c r="H15" s="22" t="s">
        <v>18</v>
      </c>
      <c r="I15" s="23"/>
      <c r="J15" s="24"/>
      <c r="K15" s="24"/>
      <c r="L15" s="24"/>
      <c r="M15" s="2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0" customHeight="1">
      <c r="A16" s="1">
        <v>9.0</v>
      </c>
      <c r="B16" s="26">
        <f>J18+J19+J20+J21+J22+J25+J26+J27+J28+J29+J32+J33</f>
        <v>0</v>
      </c>
      <c r="C16" s="26" t="str">
        <f>#REF!+#REF!+#REF!+#REF!+#REF!+#REF!+#REF!+#REF!+#REF!+#REF!+#REF!+#REF!</f>
        <v>#REF!</v>
      </c>
      <c r="D16" s="26">
        <f t="shared" ref="D16:E16" si="7">K18+K19+K20+K21+K22+K25+K26+K27+K28+K29+K32+K33</f>
        <v>0</v>
      </c>
      <c r="E16" s="26">
        <f t="shared" si="7"/>
        <v>0</v>
      </c>
      <c r="F16" s="6">
        <v>7.0</v>
      </c>
      <c r="G16" s="27">
        <v>41100.0</v>
      </c>
      <c r="H16" s="28" t="s">
        <v>19</v>
      </c>
      <c r="I16" s="1"/>
      <c r="J16" s="113"/>
      <c r="K16" s="113"/>
      <c r="L16" s="113"/>
      <c r="M16" s="11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"/>
      <c r="C17" s="1"/>
      <c r="D17" s="1"/>
      <c r="E17" s="1"/>
      <c r="F17" s="13">
        <v>9.0</v>
      </c>
      <c r="G17" s="21">
        <v>45000.0</v>
      </c>
      <c r="H17" s="22" t="s">
        <v>20</v>
      </c>
      <c r="I17" s="23"/>
      <c r="J17" s="24"/>
      <c r="K17" s="24"/>
      <c r="L17" s="24"/>
      <c r="M17" s="2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0" customHeight="1">
      <c r="A18" s="1"/>
      <c r="B18" s="1"/>
      <c r="C18" s="1"/>
      <c r="D18" s="1"/>
      <c r="E18" s="1"/>
      <c r="F18" s="6"/>
      <c r="G18" s="27">
        <v>45100.0</v>
      </c>
      <c r="H18" s="28" t="s">
        <v>217</v>
      </c>
      <c r="I18" s="1"/>
      <c r="J18" s="24"/>
      <c r="K18" s="24"/>
      <c r="L18" s="24"/>
      <c r="M18" s="2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0" customHeight="1">
      <c r="A19" s="1"/>
      <c r="B19" s="1"/>
      <c r="C19" s="1"/>
      <c r="D19" s="1"/>
      <c r="E19" s="1"/>
      <c r="F19" s="6"/>
      <c r="G19" s="27">
        <v>45200.0</v>
      </c>
      <c r="H19" s="28" t="s">
        <v>218</v>
      </c>
      <c r="I19" s="1"/>
      <c r="J19" s="24"/>
      <c r="K19" s="24"/>
      <c r="L19" s="24"/>
      <c r="M19" s="2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0" customHeight="1">
      <c r="A20" s="1"/>
      <c r="B20" s="1"/>
      <c r="C20" s="1"/>
      <c r="D20" s="1"/>
      <c r="E20" s="1"/>
      <c r="F20" s="6"/>
      <c r="G20" s="27">
        <v>45300.0</v>
      </c>
      <c r="H20" s="28" t="s">
        <v>219</v>
      </c>
      <c r="I20" s="1"/>
      <c r="J20" s="24"/>
      <c r="K20" s="24"/>
      <c r="L20" s="24"/>
      <c r="M20" s="2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0" customHeight="1">
      <c r="A21" s="1"/>
      <c r="B21" s="1"/>
      <c r="C21" s="1"/>
      <c r="D21" s="1"/>
      <c r="E21" s="1"/>
      <c r="F21" s="6"/>
      <c r="G21" s="27">
        <v>45400.0</v>
      </c>
      <c r="H21" s="28" t="s">
        <v>24</v>
      </c>
      <c r="I21" s="1"/>
      <c r="J21" s="24"/>
      <c r="K21" s="24"/>
      <c r="L21" s="24"/>
      <c r="M21" s="2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0" customHeight="1">
      <c r="A22" s="1"/>
      <c r="B22" s="1"/>
      <c r="C22" s="1"/>
      <c r="D22" s="1"/>
      <c r="E22" s="1"/>
      <c r="F22" s="6"/>
      <c r="G22" s="27">
        <v>45500.0</v>
      </c>
      <c r="H22" s="28" t="s">
        <v>25</v>
      </c>
      <c r="I22" s="1"/>
      <c r="J22" s="24"/>
      <c r="K22" s="24"/>
      <c r="L22" s="24"/>
      <c r="M22" s="2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0" customHeight="1">
      <c r="A23" s="1"/>
      <c r="B23" s="1"/>
      <c r="C23" s="1"/>
      <c r="D23" s="1"/>
      <c r="E23" s="1"/>
      <c r="F23" s="6"/>
      <c r="G23" s="27"/>
      <c r="H23" s="28"/>
      <c r="I23" s="1"/>
      <c r="J23" s="24"/>
      <c r="K23" s="24"/>
      <c r="L23" s="24"/>
      <c r="M23" s="2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0" customHeight="1">
      <c r="A24" s="1"/>
      <c r="B24" s="1"/>
      <c r="C24" s="1"/>
      <c r="D24" s="1"/>
      <c r="E24" s="1"/>
      <c r="F24" s="13"/>
      <c r="G24" s="21">
        <v>47000.0</v>
      </c>
      <c r="H24" s="22" t="s">
        <v>26</v>
      </c>
      <c r="I24" s="23"/>
      <c r="J24" s="24"/>
      <c r="K24" s="24"/>
      <c r="L24" s="24"/>
      <c r="M24" s="2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0" customHeight="1">
      <c r="A25" s="1"/>
      <c r="B25" s="1"/>
      <c r="C25" s="1"/>
      <c r="D25" s="1"/>
      <c r="E25" s="1"/>
      <c r="F25" s="6">
        <v>9.0</v>
      </c>
      <c r="G25" s="27">
        <v>47100.0</v>
      </c>
      <c r="H25" s="28" t="s">
        <v>27</v>
      </c>
      <c r="I25" s="1"/>
      <c r="J25" s="24"/>
      <c r="K25" s="24"/>
      <c r="L25" s="24"/>
      <c r="M25" s="2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0" customHeight="1">
      <c r="A26" s="1"/>
      <c r="B26" s="1"/>
      <c r="C26" s="1"/>
      <c r="D26" s="1"/>
      <c r="E26" s="1"/>
      <c r="F26" s="6">
        <v>9.0</v>
      </c>
      <c r="G26" s="27">
        <v>47200.0</v>
      </c>
      <c r="H26" s="28" t="s">
        <v>28</v>
      </c>
      <c r="I26" s="1"/>
      <c r="J26" s="24"/>
      <c r="K26" s="24"/>
      <c r="L26" s="24"/>
      <c r="M26" s="2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0" customHeight="1">
      <c r="A27" s="1"/>
      <c r="B27" s="1"/>
      <c r="C27" s="1"/>
      <c r="D27" s="1"/>
      <c r="E27" s="1"/>
      <c r="F27" s="6">
        <v>9.0</v>
      </c>
      <c r="G27" s="27">
        <v>47300.0</v>
      </c>
      <c r="H27" s="28" t="s">
        <v>29</v>
      </c>
      <c r="I27" s="1"/>
      <c r="J27" s="24"/>
      <c r="K27" s="24"/>
      <c r="L27" s="24"/>
      <c r="M27" s="2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0" customHeight="1">
      <c r="A28" s="1"/>
      <c r="B28" s="1"/>
      <c r="C28" s="1"/>
      <c r="D28" s="1"/>
      <c r="E28" s="1"/>
      <c r="F28" s="6">
        <v>9.0</v>
      </c>
      <c r="G28" s="27">
        <v>47400.0</v>
      </c>
      <c r="H28" s="28" t="s">
        <v>30</v>
      </c>
      <c r="I28" s="1"/>
      <c r="J28" s="24"/>
      <c r="K28" s="24"/>
      <c r="L28" s="24"/>
      <c r="M28" s="2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0" customHeight="1">
      <c r="A29" s="1"/>
      <c r="B29" s="1"/>
      <c r="C29" s="1"/>
      <c r="D29" s="1"/>
      <c r="E29" s="1"/>
      <c r="F29" s="6">
        <v>9.0</v>
      </c>
      <c r="G29" s="27">
        <v>47500.0</v>
      </c>
      <c r="H29" s="28" t="s">
        <v>31</v>
      </c>
      <c r="I29" s="1"/>
      <c r="J29" s="24"/>
      <c r="K29" s="24"/>
      <c r="L29" s="24"/>
      <c r="M29" s="2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37"/>
      <c r="G30" s="38"/>
      <c r="H30" s="39"/>
      <c r="I30" s="40"/>
      <c r="J30" s="24"/>
      <c r="K30" s="24"/>
      <c r="L30" s="24"/>
      <c r="M30" s="2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3"/>
      <c r="G31" s="21">
        <v>49000.0</v>
      </c>
      <c r="H31" s="22" t="s">
        <v>32</v>
      </c>
      <c r="I31" s="23"/>
      <c r="J31" s="24"/>
      <c r="K31" s="24"/>
      <c r="L31" s="24"/>
      <c r="M31" s="2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6">
        <v>9.0</v>
      </c>
      <c r="G32" s="27">
        <v>49100.0</v>
      </c>
      <c r="H32" s="28" t="s">
        <v>33</v>
      </c>
      <c r="I32" s="1"/>
      <c r="J32" s="24"/>
      <c r="K32" s="24"/>
      <c r="L32" s="24"/>
      <c r="M32" s="2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6">
        <v>9.0</v>
      </c>
      <c r="G33" s="27">
        <v>49200.0</v>
      </c>
      <c r="H33" s="28" t="s">
        <v>34</v>
      </c>
      <c r="I33" s="1"/>
      <c r="J33" s="24"/>
      <c r="K33" s="24"/>
      <c r="L33" s="24"/>
      <c r="M33" s="2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6"/>
      <c r="G34" s="20"/>
      <c r="H34" s="41" t="s">
        <v>35</v>
      </c>
      <c r="I34" s="1"/>
      <c r="J34" s="114">
        <f t="shared" ref="J34:M34" si="8">SUM(J18:J33)</f>
        <v>0</v>
      </c>
      <c r="K34" s="114">
        <f t="shared" si="8"/>
        <v>0</v>
      </c>
      <c r="L34" s="114">
        <f t="shared" si="8"/>
        <v>0</v>
      </c>
      <c r="M34" s="114">
        <f t="shared" si="8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6">
        <v>13.0</v>
      </c>
      <c r="G35" s="43"/>
      <c r="H35" s="44" t="s">
        <v>36</v>
      </c>
      <c r="I35" s="45"/>
      <c r="J35" s="115">
        <f t="shared" ref="J35:M35" si="9">J34+J16+J14+J13+J11+J9</f>
        <v>0</v>
      </c>
      <c r="K35" s="115">
        <f t="shared" si="9"/>
        <v>0</v>
      </c>
      <c r="L35" s="115">
        <f t="shared" si="9"/>
        <v>0</v>
      </c>
      <c r="M35" s="115">
        <f t="shared" si="9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 t="s">
        <v>37</v>
      </c>
      <c r="C36" s="1"/>
      <c r="D36" s="1"/>
      <c r="E36" s="1"/>
      <c r="F36" s="6"/>
      <c r="G36" s="1"/>
      <c r="H36" s="1"/>
      <c r="I36" s="1"/>
      <c r="J36" s="26"/>
      <c r="K36" s="26"/>
      <c r="L36" s="26"/>
      <c r="M36" s="26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6"/>
      <c r="G37" s="48"/>
      <c r="H37" s="48" t="s">
        <v>38</v>
      </c>
      <c r="I37" s="1"/>
      <c r="J37" s="26"/>
      <c r="K37" s="26"/>
      <c r="L37" s="26"/>
      <c r="M37" s="26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6"/>
      <c r="G39" s="21">
        <v>70000.0</v>
      </c>
      <c r="H39" s="22" t="s">
        <v>39</v>
      </c>
      <c r="I39" s="1"/>
      <c r="J39" s="24"/>
      <c r="K39" s="24"/>
      <c r="L39" s="24"/>
      <c r="M39" s="2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6">
        <v>14.0</v>
      </c>
      <c r="G40" s="49">
        <v>71000.0</v>
      </c>
      <c r="H40" s="28" t="s">
        <v>40</v>
      </c>
      <c r="I40" s="1"/>
      <c r="J40" s="24"/>
      <c r="K40" s="24"/>
      <c r="L40" s="24"/>
      <c r="M40" s="2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6">
        <v>14.0</v>
      </c>
      <c r="G41" s="27">
        <v>71100.0</v>
      </c>
      <c r="H41" s="28" t="s">
        <v>41</v>
      </c>
      <c r="I41" s="1"/>
      <c r="J41" s="24"/>
      <c r="K41" s="24"/>
      <c r="L41" s="24"/>
      <c r="M41" s="2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6">
        <v>14.0</v>
      </c>
      <c r="G42" s="27">
        <v>71200.0</v>
      </c>
      <c r="H42" s="50" t="s">
        <v>42</v>
      </c>
      <c r="I42" s="1"/>
      <c r="J42" s="24"/>
      <c r="K42" s="24"/>
      <c r="L42" s="24"/>
      <c r="M42" s="2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6">
        <v>14.0</v>
      </c>
      <c r="G43" s="27">
        <v>71300.0</v>
      </c>
      <c r="H43" s="28" t="s">
        <v>43</v>
      </c>
      <c r="I43" s="1"/>
      <c r="J43" s="24"/>
      <c r="K43" s="24"/>
      <c r="L43" s="24"/>
      <c r="M43" s="2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6">
        <v>14.0</v>
      </c>
      <c r="G44" s="27">
        <v>71400.0</v>
      </c>
      <c r="H44" s="28" t="s">
        <v>44</v>
      </c>
      <c r="I44" s="1"/>
      <c r="J44" s="24"/>
      <c r="K44" s="24"/>
      <c r="L44" s="24"/>
      <c r="M44" s="2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6">
        <v>14.0</v>
      </c>
      <c r="G45" s="27">
        <v>71500.0</v>
      </c>
      <c r="H45" s="28" t="s">
        <v>45</v>
      </c>
      <c r="I45" s="1"/>
      <c r="J45" s="24"/>
      <c r="K45" s="24"/>
      <c r="L45" s="24"/>
      <c r="M45" s="2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6"/>
      <c r="G46" s="27"/>
      <c r="H46" s="34"/>
      <c r="I46" s="1"/>
      <c r="J46" s="116"/>
      <c r="K46" s="116"/>
      <c r="L46" s="116"/>
      <c r="M46" s="116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6">
        <v>14.0</v>
      </c>
      <c r="G47" s="27">
        <v>72000.0</v>
      </c>
      <c r="H47" s="28" t="s">
        <v>46</v>
      </c>
      <c r="I47" s="1"/>
      <c r="J47" s="116"/>
      <c r="K47" s="116"/>
      <c r="L47" s="116"/>
      <c r="M47" s="116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6">
        <v>14.0</v>
      </c>
      <c r="G48" s="20">
        <v>72100.0</v>
      </c>
      <c r="H48" s="28" t="s">
        <v>47</v>
      </c>
      <c r="I48" s="1"/>
      <c r="J48" s="116"/>
      <c r="K48" s="116"/>
      <c r="L48" s="116"/>
      <c r="M48" s="116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6">
        <v>14.0</v>
      </c>
      <c r="G49" s="20">
        <v>72200.0</v>
      </c>
      <c r="H49" s="50" t="s">
        <v>48</v>
      </c>
      <c r="I49" s="1"/>
      <c r="J49" s="116"/>
      <c r="K49" s="116"/>
      <c r="L49" s="116"/>
      <c r="M49" s="116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6">
        <v>14.0</v>
      </c>
      <c r="G50" s="20">
        <v>72300.0</v>
      </c>
      <c r="H50" s="28" t="s">
        <v>49</v>
      </c>
      <c r="I50" s="1"/>
      <c r="J50" s="116"/>
      <c r="K50" s="116"/>
      <c r="L50" s="116"/>
      <c r="M50" s="116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6">
        <v>14.0</v>
      </c>
      <c r="G51" s="20">
        <v>72400.0</v>
      </c>
      <c r="H51" s="28" t="s">
        <v>50</v>
      </c>
      <c r="I51" s="1"/>
      <c r="J51" s="116"/>
      <c r="K51" s="116"/>
      <c r="L51" s="116"/>
      <c r="M51" s="116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6">
        <v>14.0</v>
      </c>
      <c r="G52" s="20">
        <v>72500.0</v>
      </c>
      <c r="H52" s="28" t="s">
        <v>51</v>
      </c>
      <c r="I52" s="1"/>
      <c r="J52" s="116"/>
      <c r="K52" s="116"/>
      <c r="L52" s="116"/>
      <c r="M52" s="116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6"/>
      <c r="G53" s="20"/>
      <c r="H53" s="28"/>
      <c r="I53" s="1"/>
      <c r="J53" s="116"/>
      <c r="K53" s="116"/>
      <c r="L53" s="116"/>
      <c r="M53" s="116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6">
        <v>14.0</v>
      </c>
      <c r="G54" s="20">
        <v>73000.0</v>
      </c>
      <c r="H54" s="28" t="s">
        <v>52</v>
      </c>
      <c r="I54" s="1"/>
      <c r="J54" s="116"/>
      <c r="K54" s="116"/>
      <c r="L54" s="116"/>
      <c r="M54" s="116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6">
        <v>14.0</v>
      </c>
      <c r="G55" s="20">
        <v>73100.0</v>
      </c>
      <c r="H55" s="28" t="s">
        <v>53</v>
      </c>
      <c r="I55" s="1"/>
      <c r="J55" s="116"/>
      <c r="K55" s="116"/>
      <c r="L55" s="116"/>
      <c r="M55" s="116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6">
        <v>14.0</v>
      </c>
      <c r="G56" s="20">
        <v>73200.0</v>
      </c>
      <c r="H56" s="50" t="s">
        <v>54</v>
      </c>
      <c r="I56" s="1"/>
      <c r="J56" s="116"/>
      <c r="K56" s="116"/>
      <c r="L56" s="116"/>
      <c r="M56" s="116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6">
        <v>14.0</v>
      </c>
      <c r="G57" s="20">
        <v>73300.0</v>
      </c>
      <c r="H57" s="28" t="s">
        <v>55</v>
      </c>
      <c r="I57" s="1"/>
      <c r="J57" s="116"/>
      <c r="K57" s="116"/>
      <c r="L57" s="116"/>
      <c r="M57" s="116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6">
        <v>14.0</v>
      </c>
      <c r="G58" s="20">
        <v>73400.0</v>
      </c>
      <c r="H58" s="28" t="s">
        <v>56</v>
      </c>
      <c r="I58" s="1"/>
      <c r="J58" s="116"/>
      <c r="K58" s="116"/>
      <c r="L58" s="116"/>
      <c r="M58" s="116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6">
        <v>14.0</v>
      </c>
      <c r="G59" s="20">
        <v>73500.0</v>
      </c>
      <c r="H59" s="28" t="s">
        <v>57</v>
      </c>
      <c r="I59" s="1"/>
      <c r="J59" s="116"/>
      <c r="K59" s="116"/>
      <c r="L59" s="116"/>
      <c r="M59" s="116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6"/>
      <c r="G60" s="20"/>
      <c r="H60" s="30" t="s">
        <v>58</v>
      </c>
      <c r="I60" s="1"/>
      <c r="J60" s="114">
        <f t="shared" ref="J60:M60" si="10">SUM(J40:J59)</f>
        <v>0</v>
      </c>
      <c r="K60" s="114">
        <f t="shared" si="10"/>
        <v>0</v>
      </c>
      <c r="L60" s="114">
        <f t="shared" si="10"/>
        <v>0</v>
      </c>
      <c r="M60" s="114">
        <f t="shared" si="10"/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>
        <v>14.0</v>
      </c>
      <c r="B61" s="26" t="str">
        <f t="shared" ref="B61:E61" si="11">SUM(#REF!)</f>
        <v>#REF!</v>
      </c>
      <c r="C61" s="26" t="str">
        <f t="shared" si="11"/>
        <v>#REF!</v>
      </c>
      <c r="D61" s="26" t="str">
        <f t="shared" si="11"/>
        <v>#REF!</v>
      </c>
      <c r="E61" s="26" t="str">
        <f t="shared" si="11"/>
        <v>#REF!</v>
      </c>
      <c r="F61" s="53"/>
      <c r="G61" s="21">
        <v>50000.0</v>
      </c>
      <c r="H61" s="22" t="s">
        <v>59</v>
      </c>
      <c r="I61" s="54"/>
      <c r="J61" s="24"/>
      <c r="K61" s="24"/>
      <c r="L61" s="24"/>
      <c r="M61" s="2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>
        <v>15.0</v>
      </c>
      <c r="B62" s="26" t="str">
        <f>J62:J66</f>
        <v/>
      </c>
      <c r="C62" s="26" t="str">
        <f t="shared" ref="C62:C63" si="13">#REF!</f>
        <v>#REF!</v>
      </c>
      <c r="D62" s="26" t="str">
        <f t="shared" ref="D62:E62" si="12">K62:K66</f>
        <v/>
      </c>
      <c r="E62" s="26" t="str">
        <f t="shared" si="12"/>
        <v/>
      </c>
      <c r="F62" s="37">
        <v>15.0</v>
      </c>
      <c r="G62" s="27">
        <v>50100.0</v>
      </c>
      <c r="H62" s="28" t="s">
        <v>60</v>
      </c>
      <c r="I62" s="40"/>
      <c r="J62" s="24"/>
      <c r="K62" s="24"/>
      <c r="L62" s="24"/>
      <c r="M62" s="2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>
        <v>16.0</v>
      </c>
      <c r="B63" s="26" t="str">
        <f>J68</f>
        <v/>
      </c>
      <c r="C63" s="26" t="str">
        <f t="shared" si="13"/>
        <v>#REF!</v>
      </c>
      <c r="D63" s="26" t="str">
        <f t="shared" ref="D63:E63" si="14">K68</f>
        <v/>
      </c>
      <c r="E63" s="26" t="str">
        <f t="shared" si="14"/>
        <v/>
      </c>
      <c r="F63" s="37">
        <v>15.0</v>
      </c>
      <c r="G63" s="27">
        <v>50200.0</v>
      </c>
      <c r="H63" s="28" t="s">
        <v>61</v>
      </c>
      <c r="I63" s="40"/>
      <c r="J63" s="24"/>
      <c r="K63" s="24"/>
      <c r="L63" s="24"/>
      <c r="M63" s="2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>
        <v>17.0</v>
      </c>
      <c r="B64" s="26">
        <f>J71+J72</f>
        <v>0</v>
      </c>
      <c r="C64" s="26" t="str">
        <f t="shared" ref="C64:C65" si="16">#REF!+#REF!</f>
        <v>#REF!</v>
      </c>
      <c r="D64" s="26">
        <f t="shared" ref="D64:E64" si="15">K71+K72</f>
        <v>15000</v>
      </c>
      <c r="E64" s="26">
        <f t="shared" si="15"/>
        <v>310000</v>
      </c>
      <c r="F64" s="37">
        <v>15.0</v>
      </c>
      <c r="G64" s="27">
        <v>50300.0</v>
      </c>
      <c r="H64" s="28" t="s">
        <v>62</v>
      </c>
      <c r="I64" s="40"/>
      <c r="J64" s="24"/>
      <c r="K64" s="24"/>
      <c r="L64" s="24"/>
      <c r="M64" s="2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>
        <v>18.0</v>
      </c>
      <c r="B65" s="26">
        <f>J74+J75</f>
        <v>0</v>
      </c>
      <c r="C65" s="26" t="str">
        <f t="shared" si="16"/>
        <v>#REF!</v>
      </c>
      <c r="D65" s="26">
        <f t="shared" ref="D65:E65" si="17">K74+K75</f>
        <v>0</v>
      </c>
      <c r="E65" s="26">
        <f t="shared" si="17"/>
        <v>0</v>
      </c>
      <c r="F65" s="37">
        <v>15.0</v>
      </c>
      <c r="G65" s="27">
        <v>50400.0</v>
      </c>
      <c r="H65" s="28" t="s">
        <v>63</v>
      </c>
      <c r="I65" s="40"/>
      <c r="J65" s="24"/>
      <c r="K65" s="24"/>
      <c r="L65" s="24"/>
      <c r="M65" s="2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>
        <v>20.0</v>
      </c>
      <c r="B66" s="26">
        <f>J78+J79+J80+J81+J82+J83</f>
        <v>0</v>
      </c>
      <c r="C66" s="26" t="str">
        <f>#REF!+#REF!+#REF!+#REF!+#REF!+#REF!</f>
        <v>#REF!</v>
      </c>
      <c r="D66" s="26">
        <f t="shared" ref="D66:E66" si="18">K78+K79+K80+K81+K82+K83</f>
        <v>0</v>
      </c>
      <c r="E66" s="26">
        <f t="shared" si="18"/>
        <v>0</v>
      </c>
      <c r="F66" s="37">
        <v>15.0</v>
      </c>
      <c r="G66" s="27">
        <v>50500.0</v>
      </c>
      <c r="H66" s="55" t="s">
        <v>64</v>
      </c>
      <c r="I66" s="40"/>
      <c r="J66" s="24"/>
      <c r="K66" s="24"/>
      <c r="L66" s="24"/>
      <c r="M66" s="2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26"/>
      <c r="C67" s="26"/>
      <c r="D67" s="26"/>
      <c r="E67" s="26"/>
      <c r="F67" s="37"/>
      <c r="G67" s="27"/>
      <c r="H67" s="56" t="s">
        <v>65</v>
      </c>
      <c r="I67" s="40"/>
      <c r="J67" s="113">
        <f t="shared" ref="J67:M67" si="19">SUM(J62:J66)</f>
        <v>0</v>
      </c>
      <c r="K67" s="113">
        <f t="shared" si="19"/>
        <v>0</v>
      </c>
      <c r="L67" s="113">
        <f t="shared" si="19"/>
        <v>0</v>
      </c>
      <c r="M67" s="113">
        <f t="shared" si="19"/>
        <v>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26"/>
      <c r="C68" s="26"/>
      <c r="D68" s="26"/>
      <c r="E68" s="26"/>
      <c r="F68" s="37">
        <v>16.0</v>
      </c>
      <c r="G68" s="27">
        <v>50600.0</v>
      </c>
      <c r="H68" s="28" t="s">
        <v>66</v>
      </c>
      <c r="I68" s="40"/>
      <c r="J68" s="24"/>
      <c r="K68" s="24"/>
      <c r="L68" s="24"/>
      <c r="M68" s="2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>
        <v>22.0</v>
      </c>
      <c r="B69" s="26">
        <f>J86+J87+J88+J89+J90</f>
        <v>0</v>
      </c>
      <c r="C69" s="26" t="str">
        <f>#REF!+#REF!+#REF!+#REF!+#REF!</f>
        <v>#REF!</v>
      </c>
      <c r="D69" s="26">
        <f t="shared" ref="D69:E69" si="20">K86+K87+K88+K89+K90</f>
        <v>0</v>
      </c>
      <c r="E69" s="26">
        <f t="shared" si="20"/>
        <v>0</v>
      </c>
      <c r="F69" s="37"/>
      <c r="G69" s="27"/>
      <c r="H69" s="56" t="s">
        <v>67</v>
      </c>
      <c r="I69" s="40"/>
      <c r="J69" s="113" t="str">
        <f t="shared" ref="J69:M69" si="21">J68</f>
        <v/>
      </c>
      <c r="K69" s="113" t="str">
        <f t="shared" si="21"/>
        <v/>
      </c>
      <c r="L69" s="113" t="str">
        <f t="shared" si="21"/>
        <v/>
      </c>
      <c r="M69" s="113" t="str">
        <f t="shared" si="21"/>
        <v/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>
        <v>23.0</v>
      </c>
      <c r="B70" s="26">
        <f>J135+J136+J121+J92+J93+J95+J96+J97+J98+J99+J100+J101+J102+J103+J105+J106+J108+J107+J110+J111+J112+J114+J115+J116+J117+J118+J119+J120+J122+J123+J125+J126+J127+J128+J129+J130+J131+J132+J133+J134</f>
        <v>0</v>
      </c>
      <c r="C70" s="26" t="str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26">
        <f t="shared" ref="D70:E70" si="22">K135+K136+K121+K92+K93+K95+K96+K97+K98+K99+K100+K101+K102+K103+K105+K106+K108+K107+K110+K111+K112+K114+K115+K116+K117+K118+K119+K120+K122+K123+K125+K126+K127+K128+K129+K130+K131+K132+K133+K134</f>
        <v>0</v>
      </c>
      <c r="E70" s="26">
        <f t="shared" si="22"/>
        <v>0</v>
      </c>
      <c r="F70" s="6"/>
      <c r="G70" s="21">
        <v>51000.0</v>
      </c>
      <c r="H70" s="22" t="s">
        <v>68</v>
      </c>
      <c r="I70" s="1"/>
      <c r="J70" s="24"/>
      <c r="K70" s="24"/>
      <c r="L70" s="24"/>
      <c r="M70" s="2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6">
        <v>17.0</v>
      </c>
      <c r="G71" s="27">
        <v>51100.0</v>
      </c>
      <c r="H71" s="28" t="s">
        <v>69</v>
      </c>
      <c r="I71" s="1"/>
      <c r="J71" s="24">
        <f>'Salary Breakdown'!C11</f>
        <v>0</v>
      </c>
      <c r="K71" s="24">
        <f>'Salary Breakdown'!D11</f>
        <v>15000</v>
      </c>
      <c r="L71" s="24">
        <f>'Salary Breakdown'!E11</f>
        <v>310000</v>
      </c>
      <c r="M71" s="24">
        <f>'Salary Breakdown'!F11</f>
        <v>460000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6">
        <v>17.0</v>
      </c>
      <c r="G72" s="27">
        <v>51400.0</v>
      </c>
      <c r="H72" s="28" t="s">
        <v>70</v>
      </c>
      <c r="I72" s="1"/>
      <c r="J72" s="24"/>
      <c r="K72" s="24"/>
      <c r="L72" s="24"/>
      <c r="M72" s="2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6"/>
      <c r="G73" s="27"/>
      <c r="H73" s="30" t="s">
        <v>71</v>
      </c>
      <c r="I73" s="1"/>
      <c r="J73" s="113">
        <f t="shared" ref="J73:M73" si="23">SUM(J71:J72)</f>
        <v>0</v>
      </c>
      <c r="K73" s="113">
        <f t="shared" si="23"/>
        <v>15000</v>
      </c>
      <c r="L73" s="113">
        <f t="shared" si="23"/>
        <v>310000</v>
      </c>
      <c r="M73" s="113">
        <f t="shared" si="23"/>
        <v>460000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6">
        <v>18.0</v>
      </c>
      <c r="G74" s="27">
        <v>51200.0</v>
      </c>
      <c r="H74" s="28" t="s">
        <v>72</v>
      </c>
      <c r="I74" s="1"/>
      <c r="J74" s="24">
        <f>'Salary Breakdown'!C19</f>
        <v>0</v>
      </c>
      <c r="K74" s="24">
        <f>'Salary Breakdown'!D19</f>
        <v>0</v>
      </c>
      <c r="L74" s="24">
        <f>'Salary Breakdown'!E19</f>
        <v>0</v>
      </c>
      <c r="M74" s="24">
        <f>'Salary Breakdown'!F19</f>
        <v>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6">
        <v>18.0</v>
      </c>
      <c r="G75" s="27">
        <v>51450.0</v>
      </c>
      <c r="H75" s="28" t="s">
        <v>73</v>
      </c>
      <c r="I75" s="1"/>
      <c r="J75" s="24"/>
      <c r="K75" s="24"/>
      <c r="L75" s="24"/>
      <c r="M75" s="2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6"/>
      <c r="G76" s="1"/>
      <c r="H76" s="30" t="s">
        <v>74</v>
      </c>
      <c r="I76" s="1"/>
      <c r="J76" s="113">
        <f t="shared" ref="J76:M76" si="24">SUM(J74:J75)</f>
        <v>0</v>
      </c>
      <c r="K76" s="113">
        <f t="shared" si="24"/>
        <v>0</v>
      </c>
      <c r="L76" s="113">
        <f t="shared" si="24"/>
        <v>0</v>
      </c>
      <c r="M76" s="113">
        <f t="shared" si="24"/>
        <v>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6"/>
      <c r="G77" s="21">
        <v>54000.0</v>
      </c>
      <c r="H77" s="22" t="s">
        <v>75</v>
      </c>
      <c r="I77" s="1"/>
      <c r="J77" s="24"/>
      <c r="K77" s="24"/>
      <c r="L77" s="24"/>
      <c r="M77" s="2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6">
        <v>20.0</v>
      </c>
      <c r="G78" s="27">
        <v>54100.0</v>
      </c>
      <c r="H78" s="28" t="s">
        <v>76</v>
      </c>
      <c r="I78" s="1"/>
      <c r="J78" s="24"/>
      <c r="K78" s="24"/>
      <c r="L78" s="24"/>
      <c r="M78" s="2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6">
        <v>20.0</v>
      </c>
      <c r="G79" s="27">
        <v>54200.0</v>
      </c>
      <c r="H79" s="28" t="s">
        <v>77</v>
      </c>
      <c r="I79" s="1"/>
      <c r="J79" s="24"/>
      <c r="K79" s="24"/>
      <c r="L79" s="24"/>
      <c r="M79" s="2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6">
        <v>20.0</v>
      </c>
      <c r="G80" s="27">
        <v>54300.0</v>
      </c>
      <c r="H80" s="28" t="s">
        <v>78</v>
      </c>
      <c r="I80" s="1"/>
      <c r="J80" s="24"/>
      <c r="K80" s="24"/>
      <c r="L80" s="24"/>
      <c r="M80" s="2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6">
        <v>20.0</v>
      </c>
      <c r="G81" s="27">
        <v>54400.0</v>
      </c>
      <c r="H81" s="28" t="s">
        <v>79</v>
      </c>
      <c r="I81" s="1"/>
      <c r="J81" s="24"/>
      <c r="K81" s="24"/>
      <c r="L81" s="24"/>
      <c r="M81" s="2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6">
        <v>20.0</v>
      </c>
      <c r="G82" s="27">
        <v>54500.0</v>
      </c>
      <c r="H82" s="28" t="s">
        <v>80</v>
      </c>
      <c r="I82" s="1"/>
      <c r="J82" s="24"/>
      <c r="K82" s="24"/>
      <c r="L82" s="24"/>
      <c r="M82" s="2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6">
        <v>20.0</v>
      </c>
      <c r="G83" s="27">
        <v>54600.0</v>
      </c>
      <c r="H83" s="28" t="s">
        <v>81</v>
      </c>
      <c r="I83" s="1"/>
      <c r="J83" s="24"/>
      <c r="K83" s="24"/>
      <c r="L83" s="24"/>
      <c r="M83" s="2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6"/>
      <c r="G84" s="27"/>
      <c r="H84" s="30" t="s">
        <v>82</v>
      </c>
      <c r="I84" s="1"/>
      <c r="J84" s="113">
        <f t="shared" ref="J84:M84" si="25">SUM(J78:J83)</f>
        <v>0</v>
      </c>
      <c r="K84" s="113">
        <f t="shared" si="25"/>
        <v>0</v>
      </c>
      <c r="L84" s="113">
        <f t="shared" si="25"/>
        <v>0</v>
      </c>
      <c r="M84" s="113">
        <f t="shared" si="25"/>
        <v>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6"/>
      <c r="G85" s="21">
        <v>52000.0</v>
      </c>
      <c r="H85" s="22" t="s">
        <v>83</v>
      </c>
      <c r="I85" s="1"/>
      <c r="J85" s="24"/>
      <c r="K85" s="24"/>
      <c r="L85" s="24"/>
      <c r="M85" s="2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6">
        <v>22.0</v>
      </c>
      <c r="G86" s="27">
        <v>52200.0</v>
      </c>
      <c r="H86" s="28" t="s">
        <v>84</v>
      </c>
      <c r="I86" s="1"/>
      <c r="J86" s="24"/>
      <c r="K86" s="24"/>
      <c r="L86" s="24"/>
      <c r="M86" s="2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6">
        <v>22.0</v>
      </c>
      <c r="G87" s="27">
        <v>52400.0</v>
      </c>
      <c r="H87" s="28" t="s">
        <v>220</v>
      </c>
      <c r="I87" s="1"/>
      <c r="J87" s="24"/>
      <c r="K87" s="24"/>
      <c r="L87" s="24"/>
      <c r="M87" s="2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6">
        <v>22.0</v>
      </c>
      <c r="G88" s="27">
        <v>52500.0</v>
      </c>
      <c r="H88" s="28" t="s">
        <v>86</v>
      </c>
      <c r="I88" s="1"/>
      <c r="J88" s="24"/>
      <c r="K88" s="24"/>
      <c r="L88" s="24"/>
      <c r="M88" s="2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6">
        <v>22.0</v>
      </c>
      <c r="G89" s="27">
        <v>52600.0</v>
      </c>
      <c r="H89" s="28" t="s">
        <v>87</v>
      </c>
      <c r="I89" s="1"/>
      <c r="J89" s="24"/>
      <c r="K89" s="24"/>
      <c r="L89" s="24"/>
      <c r="M89" s="2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6">
        <v>22.0</v>
      </c>
      <c r="G90" s="27">
        <v>52800.0</v>
      </c>
      <c r="H90" s="28" t="s">
        <v>88</v>
      </c>
      <c r="I90" s="1"/>
      <c r="J90" s="24"/>
      <c r="K90" s="24"/>
      <c r="L90" s="24"/>
      <c r="M90" s="2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6"/>
      <c r="G91" s="27"/>
      <c r="H91" s="30" t="s">
        <v>89</v>
      </c>
      <c r="I91" s="1"/>
      <c r="J91" s="113">
        <f t="shared" ref="J91:M91" si="26">SUM(J86:J90)</f>
        <v>0</v>
      </c>
      <c r="K91" s="113">
        <f t="shared" si="26"/>
        <v>0</v>
      </c>
      <c r="L91" s="113">
        <f t="shared" si="26"/>
        <v>0</v>
      </c>
      <c r="M91" s="113">
        <f t="shared" si="26"/>
        <v>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6">
        <v>23.0</v>
      </c>
      <c r="G92" s="27">
        <v>52300.0</v>
      </c>
      <c r="H92" s="28" t="s">
        <v>90</v>
      </c>
      <c r="I92" s="1"/>
      <c r="J92" s="24"/>
      <c r="K92" s="24"/>
      <c r="L92" s="24"/>
      <c r="M92" s="2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6">
        <v>23.0</v>
      </c>
      <c r="G93" s="27">
        <v>52700.0</v>
      </c>
      <c r="H93" s="28" t="s">
        <v>91</v>
      </c>
      <c r="I93" s="1"/>
      <c r="J93" s="24"/>
      <c r="K93" s="24"/>
      <c r="L93" s="24"/>
      <c r="M93" s="2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6"/>
      <c r="G94" s="21">
        <v>53000.0</v>
      </c>
      <c r="H94" s="22" t="s">
        <v>92</v>
      </c>
      <c r="I94" s="1"/>
      <c r="J94" s="24"/>
      <c r="K94" s="24"/>
      <c r="L94" s="24"/>
      <c r="M94" s="2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6">
        <v>23.0</v>
      </c>
      <c r="G95" s="27">
        <v>53100.0</v>
      </c>
      <c r="H95" s="28" t="s">
        <v>93</v>
      </c>
      <c r="I95" s="1"/>
      <c r="J95" s="24"/>
      <c r="K95" s="24"/>
      <c r="L95" s="24"/>
      <c r="M95" s="2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6">
        <v>23.0</v>
      </c>
      <c r="G96" s="27">
        <v>53200.0</v>
      </c>
      <c r="H96" s="28" t="s">
        <v>94</v>
      </c>
      <c r="I96" s="1"/>
      <c r="J96" s="24"/>
      <c r="K96" s="24"/>
      <c r="L96" s="24"/>
      <c r="M96" s="2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6">
        <v>23.0</v>
      </c>
      <c r="G97" s="27">
        <v>53300.0</v>
      </c>
      <c r="H97" s="28" t="s">
        <v>95</v>
      </c>
      <c r="I97" s="1"/>
      <c r="J97" s="24"/>
      <c r="K97" s="24"/>
      <c r="L97" s="24"/>
      <c r="M97" s="2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6">
        <v>23.0</v>
      </c>
      <c r="G98" s="27">
        <v>53400.0</v>
      </c>
      <c r="H98" s="28" t="s">
        <v>96</v>
      </c>
      <c r="I98" s="1"/>
      <c r="J98" s="24"/>
      <c r="K98" s="24"/>
      <c r="L98" s="24"/>
      <c r="M98" s="2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6">
        <v>23.0</v>
      </c>
      <c r="G99" s="27">
        <v>53500.0</v>
      </c>
      <c r="H99" s="28" t="s">
        <v>97</v>
      </c>
      <c r="I99" s="1"/>
      <c r="J99" s="24"/>
      <c r="K99" s="24"/>
      <c r="L99" s="24"/>
      <c r="M99" s="2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6">
        <v>23.0</v>
      </c>
      <c r="G100" s="27">
        <v>53600.0</v>
      </c>
      <c r="H100" s="28" t="s">
        <v>98</v>
      </c>
      <c r="I100" s="1"/>
      <c r="J100" s="24"/>
      <c r="K100" s="24"/>
      <c r="L100" s="24"/>
      <c r="M100" s="2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6">
        <v>23.0</v>
      </c>
      <c r="G101" s="27">
        <v>53700.0</v>
      </c>
      <c r="H101" s="28" t="s">
        <v>99</v>
      </c>
      <c r="I101" s="1"/>
      <c r="J101" s="24"/>
      <c r="K101" s="24"/>
      <c r="L101" s="24"/>
      <c r="M101" s="2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6">
        <v>23.0</v>
      </c>
      <c r="G102" s="27">
        <v>53800.0</v>
      </c>
      <c r="H102" s="28" t="s">
        <v>221</v>
      </c>
      <c r="I102" s="1"/>
      <c r="J102" s="24"/>
      <c r="K102" s="24"/>
      <c r="L102" s="24"/>
      <c r="M102" s="2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6">
        <v>23.0</v>
      </c>
      <c r="G103" s="27">
        <v>53900.0</v>
      </c>
      <c r="H103" s="28" t="s">
        <v>101</v>
      </c>
      <c r="I103" s="1"/>
      <c r="J103" s="24"/>
      <c r="K103" s="24"/>
      <c r="L103" s="24"/>
      <c r="M103" s="2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6"/>
      <c r="G104" s="21">
        <v>55000.0</v>
      </c>
      <c r="H104" s="22" t="s">
        <v>102</v>
      </c>
      <c r="I104" s="1"/>
      <c r="J104" s="24"/>
      <c r="K104" s="24"/>
      <c r="L104" s="24"/>
      <c r="M104" s="2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6">
        <v>23.0</v>
      </c>
      <c r="G105" s="27">
        <v>55100.0</v>
      </c>
      <c r="H105" s="28" t="s">
        <v>103</v>
      </c>
      <c r="I105" s="1"/>
      <c r="J105" s="24"/>
      <c r="K105" s="24"/>
      <c r="L105" s="24"/>
      <c r="M105" s="2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6">
        <v>23.0</v>
      </c>
      <c r="G106" s="27">
        <v>55200.0</v>
      </c>
      <c r="H106" s="28" t="s">
        <v>104</v>
      </c>
      <c r="I106" s="1"/>
      <c r="J106" s="24"/>
      <c r="K106" s="24"/>
      <c r="L106" s="24"/>
      <c r="M106" s="2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6">
        <v>23.0</v>
      </c>
      <c r="G107" s="27">
        <v>55300.0</v>
      </c>
      <c r="H107" s="28" t="s">
        <v>105</v>
      </c>
      <c r="I107" s="1"/>
      <c r="J107" s="24"/>
      <c r="K107" s="24"/>
      <c r="L107" s="24"/>
      <c r="M107" s="2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6">
        <v>23.0</v>
      </c>
      <c r="G108" s="27">
        <v>55400.0</v>
      </c>
      <c r="H108" s="28" t="s">
        <v>106</v>
      </c>
      <c r="I108" s="1"/>
      <c r="J108" s="24"/>
      <c r="K108" s="24"/>
      <c r="L108" s="24"/>
      <c r="M108" s="2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6"/>
      <c r="G109" s="21">
        <v>56000.0</v>
      </c>
      <c r="H109" s="22" t="s">
        <v>107</v>
      </c>
      <c r="I109" s="1"/>
      <c r="J109" s="24"/>
      <c r="K109" s="24"/>
      <c r="L109" s="24"/>
      <c r="M109" s="2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6">
        <v>23.0</v>
      </c>
      <c r="G110" s="27">
        <v>56100.0</v>
      </c>
      <c r="H110" s="28" t="s">
        <v>108</v>
      </c>
      <c r="I110" s="1"/>
      <c r="J110" s="24"/>
      <c r="K110" s="24"/>
      <c r="L110" s="24"/>
      <c r="M110" s="2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6">
        <v>23.0</v>
      </c>
      <c r="G111" s="27">
        <v>56200.0</v>
      </c>
      <c r="H111" s="28" t="s">
        <v>109</v>
      </c>
      <c r="I111" s="1"/>
      <c r="J111" s="24"/>
      <c r="K111" s="24"/>
      <c r="L111" s="24"/>
      <c r="M111" s="2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6">
        <v>23.0</v>
      </c>
      <c r="G112" s="27">
        <v>56300.0</v>
      </c>
      <c r="H112" s="28" t="s">
        <v>110</v>
      </c>
      <c r="I112" s="1"/>
      <c r="J112" s="24"/>
      <c r="K112" s="24"/>
      <c r="L112" s="24"/>
      <c r="M112" s="2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6"/>
      <c r="G113" s="21">
        <v>57000.0</v>
      </c>
      <c r="H113" s="22" t="s">
        <v>111</v>
      </c>
      <c r="I113" s="1"/>
      <c r="J113" s="24"/>
      <c r="K113" s="24"/>
      <c r="L113" s="24"/>
      <c r="M113" s="2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6">
        <v>23.0</v>
      </c>
      <c r="G114" s="27">
        <v>57100.0</v>
      </c>
      <c r="H114" s="28" t="s">
        <v>112</v>
      </c>
      <c r="I114" s="1"/>
      <c r="J114" s="24"/>
      <c r="K114" s="24"/>
      <c r="L114" s="24"/>
      <c r="M114" s="2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6">
        <v>23.0</v>
      </c>
      <c r="G115" s="27">
        <v>57200.0</v>
      </c>
      <c r="H115" s="28" t="s">
        <v>113</v>
      </c>
      <c r="I115" s="1"/>
      <c r="J115" s="24"/>
      <c r="K115" s="24"/>
      <c r="L115" s="24"/>
      <c r="M115" s="2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6">
        <v>23.0</v>
      </c>
      <c r="G116" s="27">
        <v>57300.0</v>
      </c>
      <c r="H116" s="28" t="s">
        <v>114</v>
      </c>
      <c r="I116" s="1"/>
      <c r="J116" s="24"/>
      <c r="K116" s="24"/>
      <c r="L116" s="24"/>
      <c r="M116" s="2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6">
        <v>23.0</v>
      </c>
      <c r="G117" s="27">
        <v>57400.0</v>
      </c>
      <c r="H117" s="28" t="s">
        <v>115</v>
      </c>
      <c r="I117" s="1"/>
      <c r="J117" s="24"/>
      <c r="K117" s="24"/>
      <c r="L117" s="24"/>
      <c r="M117" s="2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6">
        <v>23.0</v>
      </c>
      <c r="G118" s="27">
        <v>57500.0</v>
      </c>
      <c r="H118" s="28" t="s">
        <v>116</v>
      </c>
      <c r="I118" s="1"/>
      <c r="J118" s="24"/>
      <c r="K118" s="24"/>
      <c r="L118" s="24"/>
      <c r="M118" s="2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6">
        <v>23.0</v>
      </c>
      <c r="G119" s="27">
        <v>57600.0</v>
      </c>
      <c r="H119" s="28" t="s">
        <v>117</v>
      </c>
      <c r="I119" s="1"/>
      <c r="J119" s="24"/>
      <c r="K119" s="24"/>
      <c r="L119" s="24"/>
      <c r="M119" s="2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hidden="1" customHeight="1">
      <c r="A120" s="1"/>
      <c r="B120" s="1"/>
      <c r="C120" s="1"/>
      <c r="D120" s="1"/>
      <c r="E120" s="1"/>
      <c r="F120" s="6"/>
      <c r="G120" s="27">
        <v>57700.0</v>
      </c>
      <c r="H120" s="28" t="s">
        <v>118</v>
      </c>
      <c r="I120" s="1"/>
      <c r="J120" s="24"/>
      <c r="K120" s="24"/>
      <c r="L120" s="24"/>
      <c r="M120" s="2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6">
        <v>23.0</v>
      </c>
      <c r="G121" s="27">
        <v>51500.0</v>
      </c>
      <c r="H121" s="28" t="s">
        <v>119</v>
      </c>
      <c r="I121" s="1"/>
      <c r="J121" s="24"/>
      <c r="K121" s="24"/>
      <c r="L121" s="24"/>
      <c r="M121" s="2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6">
        <v>23.0</v>
      </c>
      <c r="G122" s="27">
        <v>57800.0</v>
      </c>
      <c r="H122" s="28" t="s">
        <v>120</v>
      </c>
      <c r="I122" s="1"/>
      <c r="J122" s="24"/>
      <c r="K122" s="24"/>
      <c r="L122" s="24"/>
      <c r="M122" s="2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6">
        <v>23.0</v>
      </c>
      <c r="G123" s="27">
        <v>57900.0</v>
      </c>
      <c r="H123" s="28" t="s">
        <v>121</v>
      </c>
      <c r="I123" s="1"/>
      <c r="J123" s="24"/>
      <c r="K123" s="24"/>
      <c r="L123" s="24"/>
      <c r="M123" s="2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6"/>
      <c r="G124" s="21">
        <v>60000.0</v>
      </c>
      <c r="H124" s="22" t="s">
        <v>122</v>
      </c>
      <c r="I124" s="1"/>
      <c r="J124" s="24"/>
      <c r="K124" s="24"/>
      <c r="L124" s="24"/>
      <c r="M124" s="2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6">
        <v>23.0</v>
      </c>
      <c r="G125" s="27">
        <v>61000.0</v>
      </c>
      <c r="H125" s="55" t="s">
        <v>222</v>
      </c>
      <c r="I125" s="1"/>
      <c r="J125" s="24"/>
      <c r="K125" s="24"/>
      <c r="L125" s="24"/>
      <c r="M125" s="2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6">
        <v>23.0</v>
      </c>
      <c r="G126" s="27">
        <v>61500.0</v>
      </c>
      <c r="H126" s="55" t="s">
        <v>123</v>
      </c>
      <c r="I126" s="1"/>
      <c r="J126" s="24"/>
      <c r="K126" s="24"/>
      <c r="L126" s="24"/>
      <c r="M126" s="2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6">
        <v>23.0</v>
      </c>
      <c r="G127" s="27">
        <v>62000.0</v>
      </c>
      <c r="H127" s="55" t="s">
        <v>223</v>
      </c>
      <c r="I127" s="1"/>
      <c r="J127" s="24"/>
      <c r="K127" s="24"/>
      <c r="L127" s="24"/>
      <c r="M127" s="2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6">
        <v>23.0</v>
      </c>
      <c r="G128" s="27">
        <v>62500.0</v>
      </c>
      <c r="H128" s="55" t="s">
        <v>125</v>
      </c>
      <c r="I128" s="1"/>
      <c r="J128" s="24"/>
      <c r="K128" s="24"/>
      <c r="L128" s="24"/>
      <c r="M128" s="2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6">
        <v>23.0</v>
      </c>
      <c r="G129" s="27">
        <v>63000.0</v>
      </c>
      <c r="H129" s="55" t="s">
        <v>224</v>
      </c>
      <c r="I129" s="1"/>
      <c r="J129" s="24"/>
      <c r="K129" s="24"/>
      <c r="L129" s="24"/>
      <c r="M129" s="2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6">
        <v>23.0</v>
      </c>
      <c r="G130" s="27">
        <v>63500.0</v>
      </c>
      <c r="H130" s="55" t="s">
        <v>127</v>
      </c>
      <c r="I130" s="1"/>
      <c r="J130" s="24"/>
      <c r="K130" s="24"/>
      <c r="L130" s="24"/>
      <c r="M130" s="2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6">
        <v>23.0</v>
      </c>
      <c r="G131" s="27">
        <v>64000.0</v>
      </c>
      <c r="H131" s="55" t="s">
        <v>129</v>
      </c>
      <c r="I131" s="1"/>
      <c r="J131" s="24"/>
      <c r="K131" s="24"/>
      <c r="L131" s="24"/>
      <c r="M131" s="2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6">
        <v>23.0</v>
      </c>
      <c r="G132" s="27">
        <v>64500.0</v>
      </c>
      <c r="H132" s="55" t="s">
        <v>130</v>
      </c>
      <c r="I132" s="1"/>
      <c r="J132" s="24"/>
      <c r="K132" s="24"/>
      <c r="L132" s="24"/>
      <c r="M132" s="2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6">
        <v>23.0</v>
      </c>
      <c r="G133" s="27">
        <v>65000.0</v>
      </c>
      <c r="H133" s="55" t="s">
        <v>131</v>
      </c>
      <c r="I133" s="1"/>
      <c r="J133" s="24"/>
      <c r="K133" s="24"/>
      <c r="L133" s="24"/>
      <c r="M133" s="24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6">
        <v>23.0</v>
      </c>
      <c r="G134" s="27">
        <v>65500.0</v>
      </c>
      <c r="H134" s="55" t="s">
        <v>132</v>
      </c>
      <c r="I134" s="1"/>
      <c r="J134" s="24"/>
      <c r="K134" s="24"/>
      <c r="L134" s="24"/>
      <c r="M134" s="2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6">
        <v>23.0</v>
      </c>
      <c r="G135" s="27">
        <v>49150.0</v>
      </c>
      <c r="H135" s="28" t="s">
        <v>133</v>
      </c>
      <c r="I135" s="1"/>
      <c r="J135" s="24"/>
      <c r="K135" s="24"/>
      <c r="L135" s="24"/>
      <c r="M135" s="2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6">
        <v>23.0</v>
      </c>
      <c r="G136" s="27">
        <v>49250.0</v>
      </c>
      <c r="H136" s="28" t="s">
        <v>134</v>
      </c>
      <c r="I136" s="1"/>
      <c r="J136" s="24"/>
      <c r="K136" s="24"/>
      <c r="L136" s="24"/>
      <c r="M136" s="2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6"/>
      <c r="G137" s="20"/>
      <c r="H137" s="41" t="s">
        <v>135</v>
      </c>
      <c r="I137" s="1"/>
      <c r="J137" s="114">
        <f t="shared" ref="J137:M137" si="27">SUM(J92:J136)</f>
        <v>0</v>
      </c>
      <c r="K137" s="114">
        <f t="shared" si="27"/>
        <v>0</v>
      </c>
      <c r="L137" s="114">
        <f t="shared" si="27"/>
        <v>0</v>
      </c>
      <c r="M137" s="114">
        <f t="shared" si="27"/>
        <v>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6"/>
      <c r="G138" s="43"/>
      <c r="H138" s="44" t="s">
        <v>136</v>
      </c>
      <c r="I138" s="59"/>
      <c r="J138" s="115">
        <f t="shared" ref="J138:M138" si="28">J137+J91+J84+J76+J73+J69+J67+J60</f>
        <v>0</v>
      </c>
      <c r="K138" s="115">
        <f t="shared" si="28"/>
        <v>15000</v>
      </c>
      <c r="L138" s="115">
        <f t="shared" si="28"/>
        <v>310000</v>
      </c>
      <c r="M138" s="115">
        <f t="shared" si="28"/>
        <v>460000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6"/>
      <c r="G139" s="1"/>
      <c r="H139" s="1"/>
      <c r="I139" s="1"/>
      <c r="J139" s="60"/>
      <c r="K139" s="60"/>
      <c r="L139" s="60"/>
      <c r="M139" s="6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2"/>
      <c r="G140" s="3"/>
      <c r="H140" s="4" t="s">
        <v>137</v>
      </c>
      <c r="I140" s="3"/>
      <c r="J140" s="61" t="s">
        <v>138</v>
      </c>
      <c r="K140" s="62"/>
      <c r="L140" s="6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6"/>
      <c r="G141" s="23"/>
      <c r="H141" s="1"/>
      <c r="I141" s="1"/>
      <c r="J141" s="60"/>
      <c r="K141" s="60"/>
      <c r="L141" s="60"/>
      <c r="M141" s="6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6"/>
      <c r="G142" s="64"/>
      <c r="H142" s="65"/>
      <c r="I142" s="1"/>
      <c r="J142" s="6" t="s">
        <v>139</v>
      </c>
      <c r="K142" s="60"/>
      <c r="L142" s="60"/>
      <c r="M142" s="6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66"/>
      <c r="G143" s="67" t="s">
        <v>140</v>
      </c>
      <c r="H143" s="28"/>
      <c r="I143" s="68"/>
      <c r="J143" s="69">
        <v>43830.0</v>
      </c>
      <c r="K143" s="60"/>
      <c r="L143" s="60"/>
      <c r="M143" s="6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70"/>
      <c r="G144" s="21">
        <v>10000.0</v>
      </c>
      <c r="H144" s="22" t="s">
        <v>142</v>
      </c>
      <c r="I144" s="1"/>
      <c r="J144" s="71"/>
      <c r="K144" s="60"/>
      <c r="L144" s="60"/>
      <c r="M144" s="6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70">
        <v>1.0</v>
      </c>
      <c r="G145" s="27">
        <v>10100.0</v>
      </c>
      <c r="H145" s="28" t="s">
        <v>143</v>
      </c>
      <c r="I145" s="1"/>
      <c r="J145" s="71"/>
      <c r="K145" s="60"/>
      <c r="L145" s="60"/>
      <c r="M145" s="6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70">
        <v>1.0</v>
      </c>
      <c r="G146" s="27">
        <v>10300.0</v>
      </c>
      <c r="H146" s="28" t="s">
        <v>144</v>
      </c>
      <c r="I146" s="1"/>
      <c r="J146" s="71"/>
      <c r="K146" s="60"/>
      <c r="L146" s="60"/>
      <c r="M146" s="6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73">
        <v>2.0</v>
      </c>
      <c r="G147" s="21">
        <v>11000.0</v>
      </c>
      <c r="H147" s="22" t="s">
        <v>145</v>
      </c>
      <c r="I147" s="23"/>
      <c r="J147" s="117"/>
      <c r="K147" s="60"/>
      <c r="L147" s="60"/>
      <c r="M147" s="6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73"/>
      <c r="G148" s="21">
        <v>13000.0</v>
      </c>
      <c r="H148" s="22" t="s">
        <v>146</v>
      </c>
      <c r="I148" s="23"/>
      <c r="J148" s="71"/>
      <c r="K148" s="60"/>
      <c r="L148" s="60"/>
      <c r="M148" s="6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70">
        <v>2.0</v>
      </c>
      <c r="G149" s="27">
        <v>13100.0</v>
      </c>
      <c r="H149" s="28" t="s">
        <v>147</v>
      </c>
      <c r="I149" s="1"/>
      <c r="J149" s="71"/>
      <c r="K149" s="60"/>
      <c r="L149" s="60"/>
      <c r="M149" s="6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70">
        <v>6.0</v>
      </c>
      <c r="G150" s="27">
        <v>13200.0</v>
      </c>
      <c r="H150" s="28" t="s">
        <v>148</v>
      </c>
      <c r="I150" s="1"/>
      <c r="J150" s="71"/>
      <c r="K150" s="60"/>
      <c r="L150" s="60"/>
      <c r="M150" s="6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70"/>
      <c r="G151" s="21">
        <v>14000.0</v>
      </c>
      <c r="H151" s="22" t="s">
        <v>149</v>
      </c>
      <c r="I151" s="1"/>
      <c r="J151" s="71"/>
      <c r="K151" s="60"/>
      <c r="L151" s="60"/>
      <c r="M151" s="6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70">
        <v>3.0</v>
      </c>
      <c r="G152" s="27">
        <v>14100.0</v>
      </c>
      <c r="H152" s="28" t="s">
        <v>150</v>
      </c>
      <c r="I152" s="1"/>
      <c r="J152" s="71"/>
      <c r="K152" s="60"/>
      <c r="L152" s="60"/>
      <c r="M152" s="6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70">
        <v>3.0</v>
      </c>
      <c r="G153" s="27">
        <v>14200.0</v>
      </c>
      <c r="H153" s="28" t="s">
        <v>151</v>
      </c>
      <c r="I153" s="1"/>
      <c r="J153" s="71"/>
      <c r="K153" s="60"/>
      <c r="L153" s="60"/>
      <c r="M153" s="6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73"/>
      <c r="G154" s="21">
        <v>15000.0</v>
      </c>
      <c r="H154" s="75" t="s">
        <v>152</v>
      </c>
      <c r="I154" s="76"/>
      <c r="J154" s="71"/>
      <c r="K154" s="60"/>
      <c r="L154" s="60"/>
      <c r="M154" s="6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70"/>
      <c r="G155" s="27">
        <v>15100.0</v>
      </c>
      <c r="H155" s="28" t="s">
        <v>153</v>
      </c>
      <c r="I155" s="1"/>
      <c r="J155" s="71"/>
      <c r="K155" s="60"/>
      <c r="L155" s="60"/>
      <c r="M155" s="6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70">
        <v>7.0</v>
      </c>
      <c r="G156" s="27">
        <v>15400.0</v>
      </c>
      <c r="H156" s="28" t="s">
        <v>154</v>
      </c>
      <c r="I156" s="1"/>
      <c r="J156" s="71"/>
      <c r="K156" s="60"/>
      <c r="L156" s="60"/>
      <c r="M156" s="6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73"/>
      <c r="G157" s="21">
        <v>16000.0</v>
      </c>
      <c r="H157" s="22" t="s">
        <v>155</v>
      </c>
      <c r="I157" s="23"/>
      <c r="J157" s="71"/>
      <c r="K157" s="60"/>
      <c r="L157" s="60"/>
      <c r="M157" s="6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70">
        <v>9.0</v>
      </c>
      <c r="G158" s="27">
        <v>16100.0</v>
      </c>
      <c r="H158" s="28" t="s">
        <v>156</v>
      </c>
      <c r="I158" s="1"/>
      <c r="J158" s="71"/>
      <c r="K158" s="60"/>
      <c r="L158" s="60"/>
      <c r="M158" s="6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70">
        <v>9.0</v>
      </c>
      <c r="G159" s="27">
        <v>16200.0</v>
      </c>
      <c r="H159" s="28" t="s">
        <v>157</v>
      </c>
      <c r="I159" s="1"/>
      <c r="J159" s="71"/>
      <c r="K159" s="60"/>
      <c r="L159" s="60"/>
      <c r="M159" s="6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70">
        <v>8.0</v>
      </c>
      <c r="G160" s="27">
        <v>16250.0</v>
      </c>
      <c r="H160" s="28" t="s">
        <v>158</v>
      </c>
      <c r="I160" s="1"/>
      <c r="J160" s="71"/>
      <c r="K160" s="60"/>
      <c r="L160" s="60"/>
      <c r="M160" s="6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70">
        <v>10.0</v>
      </c>
      <c r="G161" s="27">
        <v>16300.0</v>
      </c>
      <c r="H161" s="28" t="s">
        <v>159</v>
      </c>
      <c r="I161" s="1"/>
      <c r="J161" s="71"/>
      <c r="K161" s="60"/>
      <c r="L161" s="60"/>
      <c r="M161" s="6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70">
        <v>8.0</v>
      </c>
      <c r="G162" s="27">
        <v>16350.0</v>
      </c>
      <c r="H162" s="78" t="s">
        <v>160</v>
      </c>
      <c r="I162" s="1"/>
      <c r="J162" s="71"/>
      <c r="K162" s="60"/>
      <c r="L162" s="60"/>
      <c r="M162" s="6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70">
        <v>10.0</v>
      </c>
      <c r="G163" s="27">
        <v>16400.0</v>
      </c>
      <c r="H163" s="28" t="s">
        <v>161</v>
      </c>
      <c r="I163" s="1"/>
      <c r="J163" s="71"/>
      <c r="K163" s="60"/>
      <c r="L163" s="60"/>
      <c r="M163" s="6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70">
        <v>8.0</v>
      </c>
      <c r="G164" s="27">
        <v>16450.0</v>
      </c>
      <c r="H164" s="78" t="s">
        <v>162</v>
      </c>
      <c r="I164" s="1"/>
      <c r="J164" s="71"/>
      <c r="K164" s="60"/>
      <c r="L164" s="60"/>
      <c r="M164" s="6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70">
        <v>10.0</v>
      </c>
      <c r="G165" s="27">
        <v>16500.0</v>
      </c>
      <c r="H165" s="28" t="s">
        <v>163</v>
      </c>
      <c r="I165" s="1"/>
      <c r="J165" s="71"/>
      <c r="K165" s="60"/>
      <c r="L165" s="60"/>
      <c r="M165" s="6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70">
        <v>8.0</v>
      </c>
      <c r="G166" s="27">
        <v>16550.0</v>
      </c>
      <c r="H166" s="78" t="s">
        <v>164</v>
      </c>
      <c r="I166" s="1"/>
      <c r="J166" s="71"/>
      <c r="K166" s="60"/>
      <c r="L166" s="60"/>
      <c r="M166" s="6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70">
        <v>10.0</v>
      </c>
      <c r="G167" s="27">
        <v>16600.0</v>
      </c>
      <c r="H167" s="28" t="s">
        <v>165</v>
      </c>
      <c r="I167" s="1"/>
      <c r="J167" s="71"/>
      <c r="K167" s="60"/>
      <c r="L167" s="60"/>
      <c r="M167" s="6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70">
        <v>8.0</v>
      </c>
      <c r="G168" s="27">
        <v>16650.0</v>
      </c>
      <c r="H168" s="78" t="s">
        <v>166</v>
      </c>
      <c r="I168" s="1"/>
      <c r="J168" s="71"/>
      <c r="K168" s="60"/>
      <c r="L168" s="60"/>
      <c r="M168" s="6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70">
        <v>10.0</v>
      </c>
      <c r="G169" s="27">
        <v>16700.0</v>
      </c>
      <c r="H169" s="28" t="s">
        <v>167</v>
      </c>
      <c r="I169" s="1"/>
      <c r="J169" s="71"/>
      <c r="K169" s="60"/>
      <c r="L169" s="60"/>
      <c r="M169" s="6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70"/>
      <c r="G170" s="27"/>
      <c r="H170" s="22" t="s">
        <v>168</v>
      </c>
      <c r="I170" s="1"/>
      <c r="J170" s="71">
        <f>J145+J146+J147+J149+J150+J152+J153+J155+J156+J158+J159-J160+J161-J162+J163-J164+J165-J166+J167-J168+J169</f>
        <v>0</v>
      </c>
      <c r="K170" s="60"/>
      <c r="L170" s="60"/>
      <c r="M170" s="6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70"/>
      <c r="G171" s="27"/>
      <c r="H171" s="28"/>
      <c r="I171" s="1"/>
      <c r="J171" s="71"/>
      <c r="K171" s="60"/>
      <c r="L171" s="60"/>
      <c r="M171" s="6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70"/>
      <c r="G172" s="79" t="s">
        <v>169</v>
      </c>
      <c r="H172" s="28"/>
      <c r="I172" s="1"/>
      <c r="J172" s="71"/>
      <c r="K172" s="60"/>
      <c r="L172" s="60"/>
      <c r="M172" s="6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70"/>
      <c r="G173" s="21">
        <v>20000.0</v>
      </c>
      <c r="H173" s="22" t="s">
        <v>170</v>
      </c>
      <c r="I173" s="1"/>
      <c r="J173" s="71"/>
      <c r="K173" s="60"/>
      <c r="L173" s="60"/>
      <c r="M173" s="6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70">
        <v>12.0</v>
      </c>
      <c r="G174" s="27">
        <v>20100.0</v>
      </c>
      <c r="H174" s="28" t="s">
        <v>171</v>
      </c>
      <c r="I174" s="1"/>
      <c r="J174" s="71"/>
      <c r="K174" s="60"/>
      <c r="L174" s="60"/>
      <c r="M174" s="6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70"/>
      <c r="G175" s="21">
        <v>21000.0</v>
      </c>
      <c r="H175" s="22" t="s">
        <v>172</v>
      </c>
      <c r="I175" s="1"/>
      <c r="J175" s="71"/>
      <c r="K175" s="60"/>
      <c r="L175" s="60"/>
      <c r="M175" s="6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70">
        <v>15.0</v>
      </c>
      <c r="G176" s="27">
        <v>21100.0</v>
      </c>
      <c r="H176" s="28" t="s">
        <v>173</v>
      </c>
      <c r="I176" s="1"/>
      <c r="J176" s="71"/>
      <c r="K176" s="60"/>
      <c r="L176" s="60"/>
      <c r="M176" s="6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70">
        <v>15.0</v>
      </c>
      <c r="G177" s="27">
        <v>21200.0</v>
      </c>
      <c r="H177" s="28" t="s">
        <v>174</v>
      </c>
      <c r="I177" s="1"/>
      <c r="J177" s="71"/>
      <c r="K177" s="60"/>
      <c r="L177" s="60"/>
      <c r="M177" s="6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70">
        <v>15.0</v>
      </c>
      <c r="G178" s="27">
        <v>21300.0</v>
      </c>
      <c r="H178" s="28" t="s">
        <v>175</v>
      </c>
      <c r="I178" s="1"/>
      <c r="J178" s="71"/>
      <c r="K178" s="60"/>
      <c r="L178" s="60"/>
      <c r="M178" s="6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70">
        <v>15.0</v>
      </c>
      <c r="G179" s="27">
        <v>21400.0</v>
      </c>
      <c r="H179" s="28" t="s">
        <v>176</v>
      </c>
      <c r="I179" s="1"/>
      <c r="J179" s="71"/>
      <c r="K179" s="60"/>
      <c r="L179" s="60"/>
      <c r="M179" s="6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70">
        <v>15.0</v>
      </c>
      <c r="G180" s="27">
        <v>21500.0</v>
      </c>
      <c r="H180" s="28" t="s">
        <v>177</v>
      </c>
      <c r="I180" s="1"/>
      <c r="J180" s="71"/>
      <c r="K180" s="60"/>
      <c r="L180" s="60"/>
      <c r="M180" s="6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73"/>
      <c r="G181" s="21">
        <v>24000.0</v>
      </c>
      <c r="H181" s="22" t="s">
        <v>178</v>
      </c>
      <c r="I181" s="23"/>
      <c r="J181" s="71"/>
      <c r="K181" s="60"/>
      <c r="L181" s="60"/>
      <c r="M181" s="6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70">
        <v>15.0</v>
      </c>
      <c r="G182" s="27">
        <v>24100.0</v>
      </c>
      <c r="H182" s="28" t="s">
        <v>179</v>
      </c>
      <c r="I182" s="1"/>
      <c r="J182" s="71"/>
      <c r="K182" s="60"/>
      <c r="L182" s="60"/>
      <c r="M182" s="6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70">
        <v>15.0</v>
      </c>
      <c r="G183" s="27">
        <v>24400.0</v>
      </c>
      <c r="H183" s="28" t="s">
        <v>180</v>
      </c>
      <c r="I183" s="1"/>
      <c r="J183" s="71"/>
      <c r="K183" s="60"/>
      <c r="L183" s="60"/>
      <c r="M183" s="6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73"/>
      <c r="G184" s="21">
        <v>25000.0</v>
      </c>
      <c r="H184" s="22" t="s">
        <v>181</v>
      </c>
      <c r="I184" s="23"/>
      <c r="J184" s="71"/>
      <c r="K184" s="60"/>
      <c r="L184" s="60"/>
      <c r="M184" s="6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70">
        <v>15.0</v>
      </c>
      <c r="G185" s="27">
        <v>25100.0</v>
      </c>
      <c r="H185" s="28" t="s">
        <v>182</v>
      </c>
      <c r="I185" s="1"/>
      <c r="J185" s="71"/>
      <c r="K185" s="60"/>
      <c r="L185" s="60"/>
      <c r="M185" s="6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70">
        <v>14.0</v>
      </c>
      <c r="G186" s="27">
        <v>25300.0</v>
      </c>
      <c r="H186" s="28" t="s">
        <v>183</v>
      </c>
      <c r="I186" s="1"/>
      <c r="J186" s="71"/>
      <c r="K186" s="60"/>
      <c r="L186" s="60"/>
      <c r="M186" s="6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70">
        <v>15.0</v>
      </c>
      <c r="G187" s="27">
        <v>25400.0</v>
      </c>
      <c r="H187" s="28" t="s">
        <v>184</v>
      </c>
      <c r="I187" s="1"/>
      <c r="J187" s="71"/>
      <c r="K187" s="60"/>
      <c r="L187" s="60"/>
      <c r="M187" s="6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70">
        <v>15.0</v>
      </c>
      <c r="G188" s="27">
        <v>25500.0</v>
      </c>
      <c r="H188" s="28" t="s">
        <v>185</v>
      </c>
      <c r="I188" s="1"/>
      <c r="J188" s="71"/>
      <c r="K188" s="60"/>
      <c r="L188" s="60"/>
      <c r="M188" s="6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70"/>
      <c r="G189" s="27"/>
      <c r="H189" s="22" t="s">
        <v>186</v>
      </c>
      <c r="I189" s="1"/>
      <c r="J189" s="71">
        <f>SUM(J173:J188)</f>
        <v>0</v>
      </c>
      <c r="K189" s="60"/>
      <c r="L189" s="60"/>
      <c r="M189" s="6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70"/>
      <c r="G190" s="27"/>
      <c r="H190" s="28"/>
      <c r="I190" s="1"/>
      <c r="J190" s="71"/>
      <c r="K190" s="60"/>
      <c r="L190" s="60"/>
      <c r="M190" s="6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70"/>
      <c r="G191" s="80" t="s">
        <v>187</v>
      </c>
      <c r="H191" s="28"/>
      <c r="I191" s="1"/>
      <c r="J191" s="71"/>
      <c r="K191" s="60"/>
      <c r="L191" s="60"/>
      <c r="M191" s="6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70"/>
      <c r="G192" s="27"/>
      <c r="H192" s="28"/>
      <c r="I192" s="1"/>
      <c r="J192" s="71"/>
      <c r="K192" s="60"/>
      <c r="L192" s="60"/>
      <c r="M192" s="6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70"/>
      <c r="G193" s="21">
        <v>30000.0</v>
      </c>
      <c r="H193" s="22" t="s">
        <v>188</v>
      </c>
      <c r="I193" s="1"/>
      <c r="J193" s="71"/>
      <c r="K193" s="60"/>
      <c r="L193" s="60"/>
      <c r="M193" s="6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70"/>
      <c r="G194" s="27">
        <v>30100.0</v>
      </c>
      <c r="H194" s="28" t="s">
        <v>188</v>
      </c>
      <c r="I194" s="1"/>
      <c r="J194" s="118">
        <f>J170-J189</f>
        <v>0</v>
      </c>
      <c r="K194" s="60"/>
      <c r="L194" s="60"/>
      <c r="M194" s="6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70"/>
      <c r="G195" s="27">
        <v>30200.0</v>
      </c>
      <c r="H195" s="28" t="s">
        <v>189</v>
      </c>
      <c r="I195" s="1"/>
      <c r="J195" s="71"/>
      <c r="K195" s="60"/>
      <c r="L195" s="60"/>
      <c r="M195" s="6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70"/>
      <c r="G196" s="27">
        <v>30300.0</v>
      </c>
      <c r="H196" s="28" t="s">
        <v>190</v>
      </c>
      <c r="I196" s="1"/>
      <c r="J196" s="71"/>
      <c r="K196" s="60"/>
      <c r="L196" s="60"/>
      <c r="M196" s="6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70"/>
      <c r="G197" s="27">
        <v>30400.0</v>
      </c>
      <c r="H197" s="28" t="s">
        <v>191</v>
      </c>
      <c r="I197" s="1"/>
      <c r="J197" s="71"/>
      <c r="K197" s="60"/>
      <c r="L197" s="60"/>
      <c r="M197" s="6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70"/>
      <c r="G198" s="27"/>
      <c r="H198" s="28"/>
      <c r="I198" s="1"/>
      <c r="J198" s="71"/>
      <c r="K198" s="60"/>
      <c r="L198" s="60"/>
      <c r="M198" s="6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70"/>
      <c r="G199" s="21">
        <v>31000.0</v>
      </c>
      <c r="H199" s="22" t="s">
        <v>192</v>
      </c>
      <c r="I199" s="1"/>
      <c r="J199" s="71"/>
      <c r="K199" s="60"/>
      <c r="L199" s="60"/>
      <c r="M199" s="6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70"/>
      <c r="G200" s="27">
        <v>31100.0</v>
      </c>
      <c r="H200" s="28" t="s">
        <v>193</v>
      </c>
      <c r="I200" s="1"/>
      <c r="J200" s="71"/>
      <c r="K200" s="60"/>
      <c r="L200" s="60"/>
      <c r="M200" s="6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70"/>
      <c r="G201" s="27">
        <v>31200.0</v>
      </c>
      <c r="H201" s="28" t="s">
        <v>194</v>
      </c>
      <c r="I201" s="1"/>
      <c r="J201" s="71"/>
      <c r="K201" s="60"/>
      <c r="L201" s="60"/>
      <c r="M201" s="6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70"/>
      <c r="G202" s="27"/>
      <c r="H202" s="28"/>
      <c r="I202" s="1"/>
      <c r="J202" s="71"/>
      <c r="K202" s="60"/>
      <c r="L202" s="60"/>
      <c r="M202" s="6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70"/>
      <c r="G203" s="21">
        <v>32000.0</v>
      </c>
      <c r="H203" s="22" t="s">
        <v>195</v>
      </c>
      <c r="I203" s="1"/>
      <c r="J203" s="71"/>
      <c r="K203" s="60"/>
      <c r="L203" s="60"/>
      <c r="M203" s="6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70"/>
      <c r="G204" s="82">
        <v>32100.0</v>
      </c>
      <c r="H204" s="27" t="s">
        <v>196</v>
      </c>
      <c r="I204" s="1"/>
      <c r="J204" s="71"/>
      <c r="K204" s="60"/>
      <c r="L204" s="60"/>
      <c r="M204" s="6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83"/>
      <c r="G205" s="84"/>
      <c r="H205" s="79" t="s">
        <v>197</v>
      </c>
      <c r="I205" s="64"/>
      <c r="J205" s="71">
        <f>J189+SUM(J193:J204)</f>
        <v>0</v>
      </c>
      <c r="K205" s="60"/>
      <c r="L205" s="60"/>
      <c r="M205" s="6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J140:L140"/>
  </mergeCells>
  <printOptions/>
  <pageMargins bottom="0.5" footer="0.0" header="0.0" left="0.25" right="0.25" top="1.5"/>
  <pageSetup scale="88" orientation="portrait"/>
  <headerFooter>
    <oddHeader>&amp;C FORM 1023, PART IX, PAGE 13 14 FINANCIAL DATA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4.38"/>
    <col customWidth="1" min="3" max="26" width="8.63"/>
  </cols>
  <sheetData>
    <row r="1" ht="12.0" customHeight="1">
      <c r="A1" s="48" t="s">
        <v>225</v>
      </c>
      <c r="B1" s="48" t="s">
        <v>226</v>
      </c>
    </row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2009-03-14T06:04:10Z</dcterms:created>
  <dc:creator>Aaron Burcham</dc:creator>
</cp:coreProperties>
</file>