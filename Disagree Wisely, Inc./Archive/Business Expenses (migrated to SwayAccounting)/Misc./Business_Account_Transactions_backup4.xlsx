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dibella/Desktop/Sway/Disagree Wisely, Inc./Business expenses/"/>
    </mc:Choice>
  </mc:AlternateContent>
  <xr:revisionPtr revIDLastSave="0" documentId="13_ncr:1_{4EF444F1-0FE9-8646-BDB4-114691A0F122}" xr6:coauthVersionLast="47" xr6:coauthVersionMax="47" xr10:uidLastSave="{00000000-0000-0000-0000-000000000000}"/>
  <bookViews>
    <workbookView xWindow="0" yWindow="740" windowWidth="29400" windowHeight="17640" activeTab="4" xr2:uid="{00000000-000D-0000-FFFF-FFFF00000000}"/>
  </bookViews>
  <sheets>
    <sheet name="All Transactions" sheetId="1" r:id="rId1"/>
    <sheet name="HxA-AVDF" sheetId="2" r:id="rId2"/>
    <sheet name="Tools" sheetId="3" r:id="rId3"/>
    <sheet name="Snider" sheetId="4" r:id="rId4"/>
    <sheet name="Ben Delo" sheetId="5" r:id="rId5"/>
    <sheet name="Interes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6" l="1"/>
  <c r="C37" i="5"/>
  <c r="B5" i="5" s="1"/>
  <c r="B6" i="5" s="1"/>
  <c r="C43" i="4"/>
  <c r="B5" i="4"/>
  <c r="B6" i="4" s="1"/>
  <c r="C30" i="3"/>
  <c r="B5" i="3" s="1"/>
  <c r="B6" i="3" s="1"/>
  <c r="C24" i="3"/>
  <c r="C122" i="2"/>
  <c r="C118" i="2"/>
  <c r="C76" i="2"/>
  <c r="C124" i="2" s="1"/>
</calcChain>
</file>

<file path=xl/sharedStrings.xml><?xml version="1.0" encoding="utf-8"?>
<sst xmlns="http://schemas.openxmlformats.org/spreadsheetml/2006/main" count="1034" uniqueCount="246">
  <si>
    <t>Disagree Wisely, Inc. - Business Account Transactions</t>
  </si>
  <si>
    <t>Account Period: May 2025 - October 2025</t>
  </si>
  <si>
    <t>Generated: October 06, 2025</t>
  </si>
  <si>
    <t>Date</t>
  </si>
  <si>
    <t>Description</t>
  </si>
  <si>
    <t>Amount</t>
  </si>
  <si>
    <t>Balance</t>
  </si>
  <si>
    <t>Funding Source</t>
  </si>
  <si>
    <t>Notes</t>
  </si>
  <si>
    <t>TWILIO INC, SAN FRANCISCO, CA</t>
  </si>
  <si>
    <t>HxA/AVDF</t>
  </si>
  <si>
    <t>Not included in October reimbursement request</t>
  </si>
  <si>
    <t>TWILIO SENDGRID, SAN FRANCISCO, CA</t>
  </si>
  <si>
    <t>Infrastructure - Miscellaneous (SMS/notifications)</t>
  </si>
  <si>
    <t>GOOGLE*CLOUD CCNBW5, CC GOOGLE.COM, CA</t>
  </si>
  <si>
    <t>Ben Delo</t>
  </si>
  <si>
    <t>Infrastructure</t>
  </si>
  <si>
    <t>GOOGLE *GSUITE_swaybet, 650-253-0000, CA</t>
  </si>
  <si>
    <t>Infrastructure - Miscellaneous (email/workspace)</t>
  </si>
  <si>
    <t>GOOGLE *CLOUD 3vKNVH, 650-253-0000, CA</t>
  </si>
  <si>
    <t>Infrastructure - Server costs (GKE)</t>
  </si>
  <si>
    <t>Interest earned in September 2025</t>
  </si>
  <si>
    <t>GOOGLE *Google One, 650-253-0000, CA</t>
  </si>
  <si>
    <t>Cloud storage/AI subscription</t>
  </si>
  <si>
    <t>ALLY BANK, P2P , SIMON CULLEN</t>
  </si>
  <si>
    <t>N/A</t>
  </si>
  <si>
    <t>Repayment of inadvertent charge to Simon Cullen's health insurance (see 6/16/2025)</t>
  </si>
  <si>
    <t>UPWORK * -851118015, SAN FRANCISCO, CA</t>
  </si>
  <si>
    <t>Development costs</t>
  </si>
  <si>
    <t>UPWORK * -851257804, SAN FRANCISCO, CA</t>
  </si>
  <si>
    <t>LYFT *TEMP AUTH HOLD, SAN FRANCISCO, CA</t>
  </si>
  <si>
    <t>Snider</t>
  </si>
  <si>
    <t>SENTRY, SAN FRANCISCO, CA</t>
  </si>
  <si>
    <t>Infrastructure - Miscellaneous (error tracking)</t>
  </si>
  <si>
    <t>CHATBASE, TORONTO, ON</t>
  </si>
  <si>
    <t>Infrastructure - Miscellaneous (support bot)</t>
  </si>
  <si>
    <t>UBR* PENDING.UBER.COM, SAN FRANCISCO, CA</t>
  </si>
  <si>
    <t>UBER *TRIP, SAN FRANCISCO, CA</t>
  </si>
  <si>
    <t>ALLY BANK, ACCTVERIFY, 14940880059</t>
  </si>
  <si>
    <t>Bank verification</t>
  </si>
  <si>
    <t>ALLY BANK, ACCTVERIFY</t>
  </si>
  <si>
    <t>UPWORK * -849030767, SAN FRANCISCO, CA</t>
  </si>
  <si>
    <t>Tools</t>
  </si>
  <si>
    <t>Instructor Insights Development</t>
  </si>
  <si>
    <t>UPWORK * -848892068, SAN FRANCISCO, CA</t>
  </si>
  <si>
    <t>BILL.COM LLC, BILLING</t>
  </si>
  <si>
    <t>Payment processing fees</t>
  </si>
  <si>
    <t>Google Play, Mountain View, CA</t>
  </si>
  <si>
    <t>CURSOR, AI POWERED IDE, NEW YORK, NY</t>
  </si>
  <si>
    <t>TWINR INC., VAUDREUIL-DOR, QC</t>
  </si>
  <si>
    <t>BLOCKED AND REPORTED, BREMERTON, WA</t>
  </si>
  <si>
    <t>Subscription</t>
  </si>
  <si>
    <t>UPWORK * -846691498, SAN FRANCISCO, CA</t>
  </si>
  <si>
    <t>GUSTO, TLR 562239</t>
  </si>
  <si>
    <t>Payroll tax refund upon account deactivation (since DW no longer paying any salaries directly)</t>
  </si>
  <si>
    <t>AMAZON MKTPLACE PMTS, Amzn.com/bill, WA</t>
  </si>
  <si>
    <t>Office supplies</t>
  </si>
  <si>
    <t>APPLE.COM/BILL, 866-712-7753, CA</t>
  </si>
  <si>
    <t>DELTA INTERNET DELTA.C, ATLANTA, GA</t>
  </si>
  <si>
    <t xml:space="preserve">AMAZON MKTPLACE PMTS   Amzn.com/bill WA </t>
  </si>
  <si>
    <t>Refund of incorrect charge on 8/28/2025</t>
  </si>
  <si>
    <t>UPWORK * -844873181, SAN FRANCISCO, CA</t>
  </si>
  <si>
    <t>Amazon.com, Amzn.com/bill, WA</t>
  </si>
  <si>
    <t>OPENAI, SAN FRANCISCO, CA</t>
  </si>
  <si>
    <t>Infrastructure - AI costs (OpenAI API)</t>
  </si>
  <si>
    <t>ANTHROPIC, SAN FRANCISCO, CA</t>
  </si>
  <si>
    <t>Infrastructure - AI costs (Anthropic API)</t>
  </si>
  <si>
    <t>CURSOR USAGE AUG, NEW YORK, NY</t>
  </si>
  <si>
    <t>UPWORK * -844504240, SAN FRANCISCO, CA</t>
  </si>
  <si>
    <t>OPENAI *CHATGPT SUBSCR, SAN FRANCISCO, CA</t>
  </si>
  <si>
    <t>Development costs - Research tool</t>
  </si>
  <si>
    <t>HEROKU* AUG-107582724, SAN FRANCISCO, CA</t>
  </si>
  <si>
    <t>Infrastructure - Server costs</t>
  </si>
  <si>
    <t>Upwork -843074981REF, Upwork.com/bi, CA</t>
  </si>
  <si>
    <t>GUSTO, FEE 091647</t>
  </si>
  <si>
    <t>Payroll service fee</t>
  </si>
  <si>
    <t>Upwork -842277294REF, Upwork.com/bi, CA</t>
  </si>
  <si>
    <t>GOOGLE *CLOUD Gz9PW9, 650-253-0000, CA</t>
  </si>
  <si>
    <t>GOOGLE *CLOUD DM4Q6H, 650-253-0000, CA</t>
  </si>
  <si>
    <t>Interest earned in August 2025</t>
  </si>
  <si>
    <t>ARTICLE 67899, TACOMA, WA</t>
  </si>
  <si>
    <t>Office furniture</t>
  </si>
  <si>
    <t>PAY* HANDY.COM-AUG29, INDIANAPOLIS, IN</t>
  </si>
  <si>
    <t>Fee for furniture setup</t>
  </si>
  <si>
    <t>Rescheduling for furniture setup</t>
  </si>
  <si>
    <t>GITHUB, INC., SAN FRANCISCO, CA</t>
  </si>
  <si>
    <t>GOOGLE *CLOUD 5Q42V6, 650-253-0000, CA</t>
  </si>
  <si>
    <t>Incorrect charge; refunded on 9/13/2025</t>
  </si>
  <si>
    <t>Upwork -840095937REF, Upwork.com/bi, CA</t>
  </si>
  <si>
    <t>RESIDENT* NECTAR, JEFFERSONVILL, IN</t>
  </si>
  <si>
    <t>Nick's adjustable office bed and mattress</t>
  </si>
  <si>
    <t>THEVERGE.COM, WASHINGTON DC, DC</t>
  </si>
  <si>
    <t>UPWORK * -837926041, SAN FRANCISCO, CA</t>
  </si>
  <si>
    <t>UPWORK * -838060455, SAN FRANCISCO, CA</t>
  </si>
  <si>
    <t>AMERICAN AIRLINES, PHOENIX, AZ</t>
  </si>
  <si>
    <t>DUN&amp; BRADSTREET ONLINE, 800-892-2980, CA</t>
  </si>
  <si>
    <t>Amazon Tips, Amzn.com/bill, WA</t>
  </si>
  <si>
    <t>Cullen accidental charge; repaid on 10/14/2025</t>
  </si>
  <si>
    <t>UPWORK * -835793533, SAN FRANCISCO, CA</t>
  </si>
  <si>
    <t>UPWORK * -835928643, SAN FRANCISCO, CA</t>
  </si>
  <si>
    <t>CURSOR USAGE JUL, NEW YORK, NY</t>
  </si>
  <si>
    <t>HEROKU* JUL-107024988, SAN FRANCISCO, CA</t>
  </si>
  <si>
    <t>UPWORK * -833617888, SAN FRANCISCO, CA</t>
  </si>
  <si>
    <t>GUSTO, FEE 979049</t>
  </si>
  <si>
    <t>GOOGLE *CLOUD 9vKT9W, 650-253-0000, CA</t>
  </si>
  <si>
    <t>GOOGLE *CLOUD DzX7TJ, 650-253-0000, CA</t>
  </si>
  <si>
    <t>Interest earned in July 2025</t>
  </si>
  <si>
    <t>UPWORK * -831769250, SAN FRANCISCO, CA</t>
  </si>
  <si>
    <t>UPWORK * -831406601, SAN FRANCISCO, CA</t>
  </si>
  <si>
    <t>LinkedInPreD *25906824, Mountain View, CA</t>
  </si>
  <si>
    <t>Annual professional LinkedIn account</t>
  </si>
  <si>
    <t>GUSTO, TAX 609792</t>
  </si>
  <si>
    <t>Payroll taxes for DiBella salary 7/16/2025-7/25/2025</t>
  </si>
  <si>
    <t>GUSTO, NET 610613</t>
  </si>
  <si>
    <t>DiBella salary for 7/16/2025-7/25/2025</t>
  </si>
  <si>
    <t>UPWORK * -829263717, SAN FRANCISCO, CA</t>
  </si>
  <si>
    <t xml:space="preserve">LinkedInPreC *92800606 Mountain View CA </t>
  </si>
  <si>
    <t>Refund of incorrect charge on 7/15/2025</t>
  </si>
  <si>
    <t>GOOGLE *CLOUD 8J3KDR, 650-253-0000, CA</t>
  </si>
  <si>
    <t>UPWORK * -827860618, SAN FRANCISCO, CA</t>
  </si>
  <si>
    <t>GUSTO, TAX 386182</t>
  </si>
  <si>
    <t>Payroll taxes for DiBella salary 5/28/2025-5/31/2025</t>
  </si>
  <si>
    <t>GUSTO, NET 380064</t>
  </si>
  <si>
    <t>DiBella backpay for 5/28/2025-5/31/2025</t>
  </si>
  <si>
    <t>ORLANDO AIRPORT MARR, ORLANDO, FL</t>
  </si>
  <si>
    <t xml:space="preserve">AMERICAN               800-433-7300  TX </t>
  </si>
  <si>
    <t>Refund of incorrect charge on 7/2/2025</t>
  </si>
  <si>
    <t>GUSTO, NET 277978</t>
  </si>
  <si>
    <t>DiBella backpay for 7/1/2025-7/15/2025</t>
  </si>
  <si>
    <t>GUSTO, TAX 291404</t>
  </si>
  <si>
    <t>Payroll taxes for DiBella salary 7/1/2025-7/15/2025</t>
  </si>
  <si>
    <t>GUSTO, TAX 290030</t>
  </si>
  <si>
    <t>Payroll taxes for DiBella salary 6/1/2025-6/15/2025</t>
  </si>
  <si>
    <t>DiBella backpay for 6/16/2025-6/30/2025</t>
  </si>
  <si>
    <t>GUSTO, NET 278975</t>
  </si>
  <si>
    <t>DiBella backpay for 6/1/2025-6/15/2025</t>
  </si>
  <si>
    <t>UPWORK * -827095899, SAN FRANCISCO, CA</t>
  </si>
  <si>
    <t>LinkedInPreC *92800606, Mountain View, CA</t>
  </si>
  <si>
    <t>Incorrect charge; refunded on 7/21/2025</t>
  </si>
  <si>
    <t>HEROKU* JUN-106457466, SAN FRANCISCO, CA</t>
  </si>
  <si>
    <t>PA BCCO CORP FEE-DOS, HARRISBURG, PA</t>
  </si>
  <si>
    <t>Foreign business registration</t>
  </si>
  <si>
    <t>NAME-CHEAP.COM* LY0OMY, PHOENIX, AZ</t>
  </si>
  <si>
    <t>Website costs</t>
  </si>
  <si>
    <t>UPWORK * -824937417, SAN FRANCISCO, CA</t>
  </si>
  <si>
    <t>Google CLOUD D9ZB2H, Mountain View, CA</t>
  </si>
  <si>
    <t>GOOGLE *CLOUD 6NV35T, 650-253-0000, CA</t>
  </si>
  <si>
    <t>Google CLOUD zv8S5X, Mountain View, CA</t>
  </si>
  <si>
    <t>Incorrect charge; refunded on 7/17/2025</t>
  </si>
  <si>
    <t>Incorrect charge; refunded on 7/4/2025</t>
  </si>
  <si>
    <t>Interest earned in June 2025</t>
  </si>
  <si>
    <t>UPWORK * -822754447, SAN FRANCISCO, CA</t>
  </si>
  <si>
    <t>MARRIOTT BROOKLYN BR, BROOKLYN, NY</t>
  </si>
  <si>
    <t>Arthur Vining Da, 202506</t>
  </si>
  <si>
    <t>AVDF</t>
  </si>
  <si>
    <t>The Lindy Snider, Receivable</t>
  </si>
  <si>
    <t>Lindy Snider Foundation grant</t>
  </si>
  <si>
    <t>UPWORK * -820545441, SAN FRANCISCO, CA</t>
  </si>
  <si>
    <t>The Craig Snider, Receivable</t>
  </si>
  <si>
    <t>Craig Snider Foundation grant</t>
  </si>
  <si>
    <t>TWINR INC., +14388807741, CAN</t>
  </si>
  <si>
    <t>Incorrect charge; refunded on 6/19/2025</t>
  </si>
  <si>
    <t>Refund of incorrect charge on 6/19/2025</t>
  </si>
  <si>
    <t>GOOGLE *CLOUD 5NBJR5, 650-253-0000, CA</t>
  </si>
  <si>
    <t>UPWORK * -818381116, SAN FRANCISCO, CA</t>
  </si>
  <si>
    <t>HEALTH INS PREMIUM PMT, WEATOGUE, CT</t>
  </si>
  <si>
    <t>Inadvertent charge to Simon Cullen's health insurance; Simon repayed on 10/1/2025</t>
  </si>
  <si>
    <t>TWILIO INC, +18778894546, CA</t>
  </si>
  <si>
    <t>Digital Harbor F, Receivable</t>
  </si>
  <si>
    <t>First installment of Tools Competition Prize</t>
  </si>
  <si>
    <t>UPWORK * -816238517, SAN FRANCISCO, CA</t>
  </si>
  <si>
    <t>OPENAI, +14158799686, CA</t>
  </si>
  <si>
    <t>OPENAI *CHATGPT SUBSCR, +14158799686, CA</t>
  </si>
  <si>
    <t>GOOGLE *CLOUD 3V4SRP, 650-253-0000, CA</t>
  </si>
  <si>
    <t>DELTA, 800-221-1212, GA</t>
  </si>
  <si>
    <t>UPWORK * -814655596, SAN FRANCISCO, CA</t>
  </si>
  <si>
    <t>TWILIO SENDGRID, +18778894546, CA</t>
  </si>
  <si>
    <t>UPWORK * -814085609, SAN FRANCISCO, CA</t>
  </si>
  <si>
    <t>HILTON ADVPURCH8002367, MEMPHIS, TN</t>
  </si>
  <si>
    <t>IHE conference; reimbursed by AVDF on 6/27/2025</t>
  </si>
  <si>
    <t>DELTA, DELTA.COM, CA</t>
  </si>
  <si>
    <t>IHE conference; not reimbursed by AVDF</t>
  </si>
  <si>
    <t>GOOGLE*CLOUD JWQ2KX, CC GOOGLE.COM, CA</t>
  </si>
  <si>
    <t>Google CLOUD BF9WRT, Mountain View, CA</t>
  </si>
  <si>
    <t>Interest earned in May 2025</t>
  </si>
  <si>
    <t>UPWORK * -812363145, SAN FRANCISCO, CA</t>
  </si>
  <si>
    <t>UPWORK * -812363552, SAN FRANCISCO, CA</t>
  </si>
  <si>
    <t>Transfer from Ally Bank (6134)</t>
  </si>
  <si>
    <t>Ben Delo funds</t>
  </si>
  <si>
    <t>Bill.com, ACCTVERIFY</t>
  </si>
  <si>
    <t>Payment processing fee</t>
  </si>
  <si>
    <t>Refund of payment processing fee from 5/20/2025</t>
  </si>
  <si>
    <t>HxA/AVDF Grant - Expense Tracking</t>
  </si>
  <si>
    <t>Grant Period: 6/1/2025 - 11/30/2026</t>
  </si>
  <si>
    <t>Infrastructure Costs:</t>
  </si>
  <si>
    <t>Miscellaneous (SMS/notifications)</t>
  </si>
  <si>
    <t>Server costs (GKE)</t>
  </si>
  <si>
    <t>Miscellaneous (email/workspace)</t>
  </si>
  <si>
    <t>Miscellaneous (error tracking)</t>
  </si>
  <si>
    <t>Miscellaneous (support bot)</t>
  </si>
  <si>
    <t>AI costs (OpenAI API)</t>
  </si>
  <si>
    <t>AI costs (Anthropic API)</t>
  </si>
  <si>
    <t>Server costs</t>
  </si>
  <si>
    <t>Infrastructure Sub-totals:</t>
  </si>
  <si>
    <t>AI costs</t>
  </si>
  <si>
    <t>Miscellaneous</t>
  </si>
  <si>
    <t>SUBTOTAL - Infrastructure</t>
  </si>
  <si>
    <t>Development Costs:</t>
  </si>
  <si>
    <t>Software development</t>
  </si>
  <si>
    <t>Play Store registration</t>
  </si>
  <si>
    <t>AI coding tool</t>
  </si>
  <si>
    <t>Mobile app platform</t>
  </si>
  <si>
    <t>App Store membership</t>
  </si>
  <si>
    <t>AI research tool</t>
  </si>
  <si>
    <t>Business credibility (req. for Play Store)</t>
  </si>
  <si>
    <t>SUBTOTAL - Development</t>
  </si>
  <si>
    <t>Website Costs:</t>
  </si>
  <si>
    <t>Domain registration</t>
  </si>
  <si>
    <t>SUBTOTAL - Website</t>
  </si>
  <si>
    <t>TOTAL HxA/AVDF</t>
  </si>
  <si>
    <t>Tools Competition Grant - Expense Tracking</t>
  </si>
  <si>
    <t>Budget Summary</t>
  </si>
  <si>
    <t>Total Funding Available:</t>
  </si>
  <si>
    <t>Total Spent:</t>
  </si>
  <si>
    <t>Remaining:</t>
  </si>
  <si>
    <t>Instructor Insights:</t>
  </si>
  <si>
    <t>Instructor Insights development</t>
  </si>
  <si>
    <t>SUBTOTAL - Instructor Insights</t>
  </si>
  <si>
    <t>ChatMaps:</t>
  </si>
  <si>
    <t>(No costs incurred yet)</t>
  </si>
  <si>
    <t>SUBTOTAL - ChatMaps</t>
  </si>
  <si>
    <t>TOTAL SPENT</t>
  </si>
  <si>
    <t>Snider Funding - Expense Tracking</t>
  </si>
  <si>
    <t>Office furniture (Simon, I need these receipts)</t>
  </si>
  <si>
    <t>NET SPENT</t>
  </si>
  <si>
    <t>Ben Delo Funding - Expense Tracking</t>
  </si>
  <si>
    <t>Office supplies (still need Simon receipt)</t>
  </si>
  <si>
    <t>Interest Earned - Tracking</t>
  </si>
  <si>
    <t>Bank account interest income</t>
  </si>
  <si>
    <t>Month</t>
  </si>
  <si>
    <t>September 2025</t>
  </si>
  <si>
    <t>August 2025</t>
  </si>
  <si>
    <t>July 2025</t>
  </si>
  <si>
    <t>June 2025</t>
  </si>
  <si>
    <t>May 2025</t>
  </si>
  <si>
    <t>TOTAL INTEREST EARNED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</si>
</sst>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&quot;$&quot;#,##0.00;[Red]\-&quot;$&quot;#,##0.00"/>
    <numFmt numFmtId="166" formatCode="&quot;$&quot;#,##0.00"/>
  </numFmts>
  <fonts count="24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i/>
      <sz val="11"/>
      <name val="Calibri"/>
      <family val="2"/>
    </font>
    <font>
      <i/>
      <sz val="11"/>
      <name val="Calibri"/>
      <family val="2"/>
    </font>
    <font>
      <b/>
      <sz val="14"/>
      <name val="Calibri"/>
      <family val="2"/>
    </font>
    <font>
      <i/>
      <sz val="10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2"/>
      <name val="Calibri"/>
      <family val="2"/>
    </font>
    <font>
      <b/>
      <i/>
      <sz val="11"/>
      <name val="Calibri"/>
      <family val="2"/>
    </font>
    <font>
      <b/>
      <i/>
      <sz val="10"/>
      <name val="Calibri"/>
      <family val="2"/>
    </font>
    <font>
      <i/>
      <sz val="11"/>
      <name val="Calibri"/>
      <family val="2"/>
    </font>
    <font>
      <sz val="11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FFC000"/>
        <bgColor rgb="FFFFC000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4472C4"/>
        <bgColor rgb="FF4472C4"/>
      </patternFill>
    </fill>
    <fill>
      <patternFill patternType="solid">
        <fgColor rgb="FFC6E0B4"/>
        <bgColor rgb="FFC6E0B4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4472C4"/>
      </patternFill>
    </fill>
    <fill>
      <patternFill patternType="solid">
        <fgColor rgb="FFFFC000"/>
        <bgColor rgb="FFFFC000"/>
      </patternFill>
    </fill>
    <fill>
      <patternFill patternType="solid">
        <fgColor rgb="FFC6E0B4"/>
        <bgColor rgb="FFC6E0B4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 applyAlignment="1">
      <alignment horizontal="right"/>
    </xf>
    <xf numFmtId="165" fontId="0" fillId="0" borderId="1" xfId="0" applyNumberFormat="1" applyBorder="1"/>
    <xf numFmtId="165" fontId="4" fillId="0" borderId="0" xfId="0" applyNumberFormat="1" applyFont="1"/>
    <xf numFmtId="165" fontId="4" fillId="3" borderId="0" xfId="0" applyNumberFormat="1" applyFont="1" applyFill="1"/>
    <xf numFmtId="0" fontId="5" fillId="0" borderId="0" xfId="0" applyFont="1"/>
    <xf numFmtId="165" fontId="5" fillId="4" borderId="0" xfId="0" applyNumberFormat="1" applyFont="1" applyFill="1"/>
    <xf numFmtId="0" fontId="6" fillId="0" borderId="0" xfId="0" applyFont="1"/>
    <xf numFmtId="0" fontId="4" fillId="0" borderId="0" xfId="0" applyFont="1"/>
    <xf numFmtId="166" fontId="4" fillId="5" borderId="0" xfId="0" applyNumberFormat="1" applyFont="1" applyFill="1"/>
    <xf numFmtId="0" fontId="8" fillId="6" borderId="2" xfId="0" applyFont="1" applyFill="1" applyBorder="1" applyAlignment="1">
      <alignment horizontal="center" vertical="center"/>
    </xf>
    <xf numFmtId="164" fontId="0" fillId="0" borderId="2" xfId="0" applyNumberFormat="1" applyBorder="1"/>
    <xf numFmtId="0" fontId="0" fillId="0" borderId="2" xfId="0" applyBorder="1"/>
    <xf numFmtId="165" fontId="0" fillId="0" borderId="2" xfId="0" applyNumberFormat="1" applyBorder="1" applyAlignment="1">
      <alignment horizontal="right"/>
    </xf>
    <xf numFmtId="165" fontId="4" fillId="7" borderId="0" xfId="0" applyNumberFormat="1" applyFont="1" applyFill="1"/>
    <xf numFmtId="0" fontId="10" fillId="0" borderId="0" xfId="0" applyFont="1"/>
    <xf numFmtId="0" fontId="13" fillId="8" borderId="3" xfId="0" applyFont="1" applyFill="1" applyBorder="1" applyAlignment="1">
      <alignment horizontal="center" vertical="center"/>
    </xf>
    <xf numFmtId="164" fontId="0" fillId="0" borderId="3" xfId="0" applyNumberFormat="1" applyBorder="1"/>
    <xf numFmtId="0" fontId="0" fillId="0" borderId="3" xfId="0" applyBorder="1"/>
    <xf numFmtId="166" fontId="0" fillId="0" borderId="3" xfId="0" applyNumberFormat="1" applyBorder="1" applyAlignment="1">
      <alignment horizontal="right"/>
    </xf>
    <xf numFmtId="0" fontId="14" fillId="0" borderId="0" xfId="0" applyFont="1"/>
    <xf numFmtId="166" fontId="14" fillId="9" borderId="0" xfId="0" applyNumberFormat="1" applyFont="1" applyFill="1"/>
    <xf numFmtId="0" fontId="16" fillId="0" borderId="0" xfId="0" applyFont="1"/>
    <xf numFmtId="0" fontId="17" fillId="0" borderId="0" xfId="0" applyFont="1"/>
    <xf numFmtId="166" fontId="17" fillId="10" borderId="0" xfId="0" applyNumberFormat="1" applyFont="1" applyFill="1"/>
    <xf numFmtId="165" fontId="17" fillId="0" borderId="0" xfId="0" applyNumberFormat="1" applyFont="1"/>
    <xf numFmtId="0" fontId="18" fillId="11" borderId="4" xfId="0" applyFont="1" applyFill="1" applyBorder="1" applyAlignment="1">
      <alignment horizontal="center" vertical="center"/>
    </xf>
    <xf numFmtId="164" fontId="0" fillId="0" borderId="4" xfId="0" applyNumberFormat="1" applyBorder="1"/>
    <xf numFmtId="0" fontId="0" fillId="0" borderId="4" xfId="0" applyBorder="1"/>
    <xf numFmtId="165" fontId="0" fillId="0" borderId="4" xfId="0" applyNumberFormat="1" applyBorder="1" applyAlignment="1">
      <alignment horizontal="right"/>
    </xf>
    <xf numFmtId="0" fontId="19" fillId="0" borderId="0" xfId="0" applyFont="1"/>
    <xf numFmtId="165" fontId="19" fillId="12" borderId="0" xfId="0" applyNumberFormat="1" applyFont="1" applyFill="1"/>
    <xf numFmtId="166" fontId="17" fillId="13" borderId="0" xfId="0" applyNumberFormat="1" applyFont="1" applyFill="1"/>
    <xf numFmtId="0" fontId="21" fillId="0" borderId="0" xfId="0" applyFont="1"/>
    <xf numFmtId="0" fontId="22" fillId="0" borderId="0" xfId="0" applyFont="1" applyAlignment="1">
      <alignment horizontal="right" indent="2"/>
    </xf>
    <xf numFmtId="165" fontId="22" fillId="14" borderId="0" xfId="0" applyNumberFormat="1" applyFont="1" applyFill="1"/>
    <xf numFmtId="165" fontId="17" fillId="15" borderId="0" xfId="0" applyNumberFormat="1" applyFont="1" applyFill="1"/>
    <xf numFmtId="164" fontId="0" fillId="0" borderId="0" xfId="0" applyNumberFormat="1"/>
    <xf numFmtId="0" fontId="2" fillId="0" borderId="0" xfId="0" applyFont="1"/>
    <xf numFmtId="0" fontId="0" fillId="0" borderId="0" xfId="0"/>
    <xf numFmtId="0" fontId="1" fillId="0" borderId="0" xfId="0" applyFont="1"/>
    <xf numFmtId="0" fontId="15" fillId="0" borderId="0" xfId="0" applyFont="1"/>
    <xf numFmtId="0" fontId="20" fillId="0" borderId="0" xfId="0" applyFont="1"/>
    <xf numFmtId="0" fontId="7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4" fontId="2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9"/>
  <sheetViews>
    <sheetView workbookViewId="0">
      <pane ySplit="5" topLeftCell="A185" activePane="bottomLeft" state="frozen"/>
      <selection pane="bottomLeft" activeCell="E210" sqref="E210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4" width="15" customWidth="1"/>
    <col min="5" max="5" width="20" customWidth="1"/>
    <col min="6" max="6" width="44" customWidth="1"/>
  </cols>
  <sheetData>
    <row r="1" spans="1:6" ht="19" customHeight="1" x14ac:dyDescent="0.25">
      <c r="A1" s="43" t="s">
        <v>0</v>
      </c>
      <c r="B1" s="42"/>
      <c r="C1" s="42"/>
      <c r="D1" s="42"/>
      <c r="E1" s="42"/>
      <c r="F1" s="42"/>
    </row>
    <row r="2" spans="1:6" x14ac:dyDescent="0.2">
      <c r="A2" s="41" t="s">
        <v>1</v>
      </c>
      <c r="B2" s="42"/>
      <c r="C2" s="42"/>
      <c r="D2" s="42"/>
      <c r="E2" s="42"/>
      <c r="F2" s="42"/>
    </row>
    <row r="3" spans="1:6" x14ac:dyDescent="0.2">
      <c r="A3" s="41" t="s">
        <v>2</v>
      </c>
      <c r="B3" s="42"/>
      <c r="C3" s="42"/>
      <c r="D3" s="42"/>
      <c r="E3" s="42"/>
      <c r="F3" s="42"/>
    </row>
    <row r="5" spans="1:6" x14ac:dyDescent="0.2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</row>
    <row r="6" spans="1:6" x14ac:dyDescent="0.2">
      <c r="A6" s="2">
        <v>45935</v>
      </c>
      <c r="B6" s="3" t="s">
        <v>9</v>
      </c>
      <c r="C6" s="4">
        <v>-10</v>
      </c>
      <c r="D6" s="4">
        <v>88254.700000000157</v>
      </c>
      <c r="E6" s="3" t="s">
        <v>10</v>
      </c>
      <c r="F6" s="3" t="s">
        <v>11</v>
      </c>
    </row>
    <row r="7" spans="1:6" x14ac:dyDescent="0.2">
      <c r="A7" s="2">
        <v>45935</v>
      </c>
      <c r="B7" s="3" t="s">
        <v>9</v>
      </c>
      <c r="C7" s="4">
        <v>-10.23</v>
      </c>
      <c r="D7" s="5">
        <v>88244.470000000161</v>
      </c>
      <c r="E7" s="3" t="s">
        <v>10</v>
      </c>
      <c r="F7" s="3" t="s">
        <v>11</v>
      </c>
    </row>
    <row r="8" spans="1:6" x14ac:dyDescent="0.2">
      <c r="A8" s="2">
        <v>45934</v>
      </c>
      <c r="B8" s="3" t="s">
        <v>9</v>
      </c>
      <c r="C8" s="4">
        <v>-10.029999999999999</v>
      </c>
      <c r="D8" s="4">
        <v>88289.650000000154</v>
      </c>
      <c r="E8" s="3" t="s">
        <v>10</v>
      </c>
      <c r="F8" s="3" t="s">
        <v>11</v>
      </c>
    </row>
    <row r="9" spans="1:6" x14ac:dyDescent="0.2">
      <c r="A9" s="2">
        <v>45934</v>
      </c>
      <c r="B9" s="3" t="s">
        <v>12</v>
      </c>
      <c r="C9" s="4">
        <v>-24.95</v>
      </c>
      <c r="D9" s="5">
        <v>88264.700000000157</v>
      </c>
      <c r="E9" s="3" t="s">
        <v>10</v>
      </c>
      <c r="F9" s="3" t="s">
        <v>13</v>
      </c>
    </row>
    <row r="10" spans="1:6" x14ac:dyDescent="0.2">
      <c r="A10" s="2">
        <v>45933</v>
      </c>
      <c r="B10" s="3" t="s">
        <v>9</v>
      </c>
      <c r="C10" s="4">
        <v>-10.050000000000001</v>
      </c>
      <c r="D10" s="4">
        <v>88299.680000000153</v>
      </c>
      <c r="E10" s="3" t="s">
        <v>10</v>
      </c>
      <c r="F10" s="3" t="s">
        <v>11</v>
      </c>
    </row>
    <row r="11" spans="1:6" x14ac:dyDescent="0.2">
      <c r="A11" s="2">
        <v>45932</v>
      </c>
      <c r="B11" s="3" t="s">
        <v>14</v>
      </c>
      <c r="C11" s="4">
        <v>-0.01</v>
      </c>
      <c r="D11" s="4">
        <v>89200.120000000155</v>
      </c>
      <c r="E11" s="3" t="s">
        <v>15</v>
      </c>
      <c r="F11" s="3" t="s">
        <v>16</v>
      </c>
    </row>
    <row r="12" spans="1:6" x14ac:dyDescent="0.2">
      <c r="A12" s="2">
        <v>45932</v>
      </c>
      <c r="B12" s="3" t="s">
        <v>17</v>
      </c>
      <c r="C12" s="4">
        <v>-22.47</v>
      </c>
      <c r="D12" s="5">
        <v>89177.650000000154</v>
      </c>
      <c r="E12" s="3" t="s">
        <v>10</v>
      </c>
      <c r="F12" s="3" t="s">
        <v>18</v>
      </c>
    </row>
    <row r="13" spans="1:6" x14ac:dyDescent="0.2">
      <c r="A13" s="2">
        <v>45932</v>
      </c>
      <c r="B13" s="3" t="s">
        <v>19</v>
      </c>
      <c r="C13" s="4">
        <v>-867.92</v>
      </c>
      <c r="D13" s="4">
        <v>88309.730000000156</v>
      </c>
      <c r="E13" s="3" t="s">
        <v>10</v>
      </c>
      <c r="F13" s="3" t="s">
        <v>20</v>
      </c>
    </row>
    <row r="14" spans="1:6" x14ac:dyDescent="0.2">
      <c r="A14" s="2">
        <v>45931</v>
      </c>
      <c r="B14" s="3" t="s">
        <v>21</v>
      </c>
      <c r="C14" s="4">
        <v>284.55</v>
      </c>
      <c r="D14" s="4">
        <v>88149.700000000143</v>
      </c>
      <c r="E14" s="3"/>
      <c r="F14" s="3"/>
    </row>
    <row r="15" spans="1:6" x14ac:dyDescent="0.2">
      <c r="A15" s="2">
        <v>45931</v>
      </c>
      <c r="B15" s="3" t="s">
        <v>22</v>
      </c>
      <c r="C15" s="4">
        <v>-21.39</v>
      </c>
      <c r="D15" s="4">
        <v>88128.310000000143</v>
      </c>
      <c r="E15" s="3" t="s">
        <v>15</v>
      </c>
      <c r="F15" s="3" t="s">
        <v>23</v>
      </c>
    </row>
    <row r="16" spans="1:6" x14ac:dyDescent="0.2">
      <c r="A16" s="2">
        <v>45931</v>
      </c>
      <c r="B16" s="3" t="s">
        <v>9</v>
      </c>
      <c r="C16" s="4">
        <v>-10</v>
      </c>
      <c r="D16" s="5">
        <v>88118.310000000143</v>
      </c>
      <c r="E16" s="3" t="s">
        <v>10</v>
      </c>
      <c r="F16" s="3" t="s">
        <v>11</v>
      </c>
    </row>
    <row r="17" spans="1:6" x14ac:dyDescent="0.2">
      <c r="A17" s="2">
        <v>45931</v>
      </c>
      <c r="B17" s="3" t="s">
        <v>24</v>
      </c>
      <c r="C17" s="4">
        <v>1081.82</v>
      </c>
      <c r="D17" s="5">
        <v>89200.13000000015</v>
      </c>
      <c r="E17" s="3" t="s">
        <v>25</v>
      </c>
      <c r="F17" s="3" t="s">
        <v>26</v>
      </c>
    </row>
    <row r="18" spans="1:6" x14ac:dyDescent="0.2">
      <c r="A18" s="2">
        <v>45930</v>
      </c>
      <c r="B18" s="3" t="s">
        <v>27</v>
      </c>
      <c r="C18" s="4">
        <v>-1948.93</v>
      </c>
      <c r="D18" s="4">
        <v>88181.050000000134</v>
      </c>
      <c r="E18" s="3" t="s">
        <v>10</v>
      </c>
      <c r="F18" s="3" t="s">
        <v>28</v>
      </c>
    </row>
    <row r="19" spans="1:6" x14ac:dyDescent="0.2">
      <c r="A19" s="2">
        <v>45930</v>
      </c>
      <c r="B19" s="3" t="s">
        <v>29</v>
      </c>
      <c r="C19" s="4">
        <v>-315.89999999999998</v>
      </c>
      <c r="D19" s="5">
        <v>87865.15000000014</v>
      </c>
      <c r="E19" s="3" t="s">
        <v>10</v>
      </c>
      <c r="F19" s="3" t="s">
        <v>28</v>
      </c>
    </row>
    <row r="20" spans="1:6" x14ac:dyDescent="0.2">
      <c r="A20" s="2">
        <v>45929</v>
      </c>
      <c r="B20" s="3" t="s">
        <v>9</v>
      </c>
      <c r="C20" s="4">
        <v>-10.01</v>
      </c>
      <c r="D20" s="4">
        <v>90129.980000000127</v>
      </c>
      <c r="E20" s="3" t="s">
        <v>10</v>
      </c>
      <c r="F20" s="3" t="s">
        <v>13</v>
      </c>
    </row>
    <row r="21" spans="1:6" x14ac:dyDescent="0.2">
      <c r="A21" s="2">
        <v>45928</v>
      </c>
      <c r="B21" s="3" t="s">
        <v>30</v>
      </c>
      <c r="C21" s="4">
        <v>-53.62</v>
      </c>
      <c r="D21" s="4">
        <v>90139.990000000122</v>
      </c>
      <c r="E21" s="3" t="s">
        <v>31</v>
      </c>
      <c r="F21" s="3"/>
    </row>
    <row r="22" spans="1:6" x14ac:dyDescent="0.2">
      <c r="A22" s="2">
        <v>45927</v>
      </c>
      <c r="B22" s="3" t="s">
        <v>9</v>
      </c>
      <c r="C22" s="4">
        <v>-10.01</v>
      </c>
      <c r="D22" s="4">
        <v>90193.610000000117</v>
      </c>
      <c r="E22" s="3" t="s">
        <v>10</v>
      </c>
      <c r="F22" s="3" t="s">
        <v>13</v>
      </c>
    </row>
    <row r="23" spans="1:6" x14ac:dyDescent="0.2">
      <c r="A23" s="2">
        <v>45925</v>
      </c>
      <c r="B23" s="3" t="s">
        <v>32</v>
      </c>
      <c r="C23" s="4">
        <v>-41.73</v>
      </c>
      <c r="D23" s="4">
        <v>90340.230000000098</v>
      </c>
      <c r="E23" s="3" t="s">
        <v>10</v>
      </c>
      <c r="F23" s="3" t="s">
        <v>33</v>
      </c>
    </row>
    <row r="24" spans="1:6" x14ac:dyDescent="0.2">
      <c r="A24" s="2">
        <v>45925</v>
      </c>
      <c r="B24" s="3" t="s">
        <v>9</v>
      </c>
      <c r="C24" s="4">
        <v>-10.01</v>
      </c>
      <c r="D24" s="5">
        <v>90330.220000000103</v>
      </c>
      <c r="E24" s="3" t="s">
        <v>10</v>
      </c>
      <c r="F24" s="3" t="s">
        <v>13</v>
      </c>
    </row>
    <row r="25" spans="1:6" x14ac:dyDescent="0.2">
      <c r="A25" s="2">
        <v>45925</v>
      </c>
      <c r="B25" s="3" t="s">
        <v>34</v>
      </c>
      <c r="C25" s="4">
        <v>-40</v>
      </c>
      <c r="D25" s="4">
        <v>90290.220000000103</v>
      </c>
      <c r="E25" s="3" t="s">
        <v>10</v>
      </c>
      <c r="F25" s="3" t="s">
        <v>35</v>
      </c>
    </row>
    <row r="26" spans="1:6" x14ac:dyDescent="0.2">
      <c r="A26" s="2">
        <v>45925</v>
      </c>
      <c r="B26" s="3" t="s">
        <v>36</v>
      </c>
      <c r="C26" s="4">
        <v>-22.76</v>
      </c>
      <c r="D26" s="5">
        <v>90267.460000000108</v>
      </c>
      <c r="E26" s="3" t="s">
        <v>31</v>
      </c>
      <c r="F26" s="3"/>
    </row>
    <row r="27" spans="1:6" x14ac:dyDescent="0.2">
      <c r="A27" s="2">
        <v>45925</v>
      </c>
      <c r="B27" s="3" t="s">
        <v>37</v>
      </c>
      <c r="C27" s="4">
        <v>-63.84</v>
      </c>
      <c r="D27" s="5">
        <v>90203.620000000112</v>
      </c>
      <c r="E27" s="3" t="s">
        <v>31</v>
      </c>
      <c r="F27" s="3"/>
    </row>
    <row r="28" spans="1:6" x14ac:dyDescent="0.2">
      <c r="A28" s="2">
        <v>45924</v>
      </c>
      <c r="B28" s="3" t="s">
        <v>38</v>
      </c>
      <c r="C28" s="4">
        <v>-0.71</v>
      </c>
      <c r="D28" s="4">
        <v>90381.250000000087</v>
      </c>
      <c r="E28" s="3" t="s">
        <v>25</v>
      </c>
      <c r="F28" s="3" t="s">
        <v>39</v>
      </c>
    </row>
    <row r="29" spans="1:6" x14ac:dyDescent="0.2">
      <c r="A29" s="2">
        <v>45924</v>
      </c>
      <c r="B29" s="3" t="s">
        <v>40</v>
      </c>
      <c r="C29" s="4">
        <v>0.38</v>
      </c>
      <c r="D29" s="5">
        <v>90381.630000000092</v>
      </c>
      <c r="E29" s="3" t="s">
        <v>25</v>
      </c>
      <c r="F29" s="3" t="s">
        <v>39</v>
      </c>
    </row>
    <row r="30" spans="1:6" x14ac:dyDescent="0.2">
      <c r="A30" s="2">
        <v>45924</v>
      </c>
      <c r="B30" s="3" t="s">
        <v>40</v>
      </c>
      <c r="C30" s="4">
        <v>0.33</v>
      </c>
      <c r="D30" s="5">
        <v>90381.960000000094</v>
      </c>
      <c r="E30" s="3" t="s">
        <v>25</v>
      </c>
      <c r="F30" s="3" t="s">
        <v>39</v>
      </c>
    </row>
    <row r="31" spans="1:6" x14ac:dyDescent="0.2">
      <c r="A31" s="2">
        <v>45923</v>
      </c>
      <c r="B31" s="3" t="s">
        <v>41</v>
      </c>
      <c r="C31" s="4">
        <v>-284.31</v>
      </c>
      <c r="D31" s="5">
        <v>93003.070000000094</v>
      </c>
      <c r="E31" s="3" t="s">
        <v>42</v>
      </c>
      <c r="F31" s="3" t="s">
        <v>43</v>
      </c>
    </row>
    <row r="32" spans="1:6" x14ac:dyDescent="0.2">
      <c r="A32" s="2">
        <v>45923</v>
      </c>
      <c r="B32" s="3" t="s">
        <v>44</v>
      </c>
      <c r="C32" s="4">
        <v>-2621.11</v>
      </c>
      <c r="D32" s="4">
        <v>90381.960000000094</v>
      </c>
      <c r="E32" s="3" t="s">
        <v>10</v>
      </c>
      <c r="F32" s="3" t="s">
        <v>28</v>
      </c>
    </row>
    <row r="33" spans="1:6" x14ac:dyDescent="0.2">
      <c r="A33" s="2">
        <v>45922</v>
      </c>
      <c r="B33" s="3" t="s">
        <v>9</v>
      </c>
      <c r="C33" s="4">
        <v>-10.79</v>
      </c>
      <c r="D33" s="4">
        <v>93307.710000000094</v>
      </c>
      <c r="E33" s="3" t="s">
        <v>10</v>
      </c>
      <c r="F33" s="3" t="s">
        <v>13</v>
      </c>
    </row>
    <row r="34" spans="1:6" x14ac:dyDescent="0.2">
      <c r="A34" s="2">
        <v>45922</v>
      </c>
      <c r="B34" s="3" t="s">
        <v>45</v>
      </c>
      <c r="C34" s="4">
        <v>-20.329999999999998</v>
      </c>
      <c r="D34" s="4">
        <v>93287.380000000092</v>
      </c>
      <c r="E34" s="3" t="s">
        <v>15</v>
      </c>
      <c r="F34" s="3" t="s">
        <v>46</v>
      </c>
    </row>
    <row r="35" spans="1:6" x14ac:dyDescent="0.2">
      <c r="A35" s="2">
        <v>45921</v>
      </c>
      <c r="B35" s="3" t="s">
        <v>47</v>
      </c>
      <c r="C35" s="4">
        <v>-25</v>
      </c>
      <c r="D35" s="4">
        <v>93349.93000000008</v>
      </c>
      <c r="E35" s="3" t="s">
        <v>10</v>
      </c>
      <c r="F35" s="3" t="s">
        <v>28</v>
      </c>
    </row>
    <row r="36" spans="1:6" x14ac:dyDescent="0.2">
      <c r="A36" s="2">
        <v>45921</v>
      </c>
      <c r="B36" s="3" t="s">
        <v>48</v>
      </c>
      <c r="C36" s="4">
        <v>-21.4</v>
      </c>
      <c r="D36" s="4">
        <v>93328.530000000086</v>
      </c>
      <c r="E36" s="3" t="s">
        <v>10</v>
      </c>
      <c r="F36" s="3" t="s">
        <v>28</v>
      </c>
    </row>
    <row r="37" spans="1:6" x14ac:dyDescent="0.2">
      <c r="A37" s="2">
        <v>45921</v>
      </c>
      <c r="B37" s="3" t="s">
        <v>9</v>
      </c>
      <c r="C37" s="4">
        <v>-10.029999999999999</v>
      </c>
      <c r="D37" s="5">
        <v>93318.500000000087</v>
      </c>
      <c r="E37" s="3" t="s">
        <v>10</v>
      </c>
      <c r="F37" s="3" t="s">
        <v>13</v>
      </c>
    </row>
    <row r="38" spans="1:6" x14ac:dyDescent="0.2">
      <c r="A38" s="2">
        <v>45920</v>
      </c>
      <c r="B38" s="3" t="s">
        <v>49</v>
      </c>
      <c r="C38" s="4">
        <v>-2</v>
      </c>
      <c r="D38" s="4">
        <v>93443.43000000008</v>
      </c>
      <c r="E38" s="3" t="s">
        <v>10</v>
      </c>
      <c r="F38" s="3" t="s">
        <v>28</v>
      </c>
    </row>
    <row r="39" spans="1:6" x14ac:dyDescent="0.2">
      <c r="A39" s="2">
        <v>45920</v>
      </c>
      <c r="B39" s="3" t="s">
        <v>49</v>
      </c>
      <c r="C39" s="4">
        <v>-68.5</v>
      </c>
      <c r="D39" s="5">
        <v>93374.93000000008</v>
      </c>
      <c r="E39" s="3" t="s">
        <v>10</v>
      </c>
      <c r="F39" s="3" t="s">
        <v>28</v>
      </c>
    </row>
    <row r="40" spans="1:6" x14ac:dyDescent="0.2">
      <c r="A40" s="2">
        <v>45919</v>
      </c>
      <c r="B40" s="3" t="s">
        <v>9</v>
      </c>
      <c r="C40" s="4">
        <v>-10.09</v>
      </c>
      <c r="D40" s="4">
        <v>93532.830000000075</v>
      </c>
      <c r="E40" s="3" t="s">
        <v>10</v>
      </c>
      <c r="F40" s="3" t="s">
        <v>13</v>
      </c>
    </row>
    <row r="41" spans="1:6" x14ac:dyDescent="0.2">
      <c r="A41" s="2">
        <v>45919</v>
      </c>
      <c r="B41" s="3" t="s">
        <v>36</v>
      </c>
      <c r="C41" s="4">
        <v>-87.4</v>
      </c>
      <c r="D41" s="4">
        <v>93445.43000000008</v>
      </c>
      <c r="E41" s="3" t="s">
        <v>31</v>
      </c>
      <c r="F41" s="3"/>
    </row>
    <row r="42" spans="1:6" x14ac:dyDescent="0.2">
      <c r="A42" s="2">
        <v>45918</v>
      </c>
      <c r="B42" s="3" t="s">
        <v>50</v>
      </c>
      <c r="C42" s="4">
        <v>-75</v>
      </c>
      <c r="D42" s="4">
        <v>93542.920000000071</v>
      </c>
      <c r="E42" s="3" t="s">
        <v>15</v>
      </c>
      <c r="F42" s="3" t="s">
        <v>51</v>
      </c>
    </row>
    <row r="43" spans="1:6" x14ac:dyDescent="0.2">
      <c r="A43" s="2">
        <v>45917</v>
      </c>
      <c r="B43" s="3" t="s">
        <v>9</v>
      </c>
      <c r="C43" s="4">
        <v>-10</v>
      </c>
      <c r="D43" s="4">
        <v>93617.920000000071</v>
      </c>
      <c r="E43" s="3" t="s">
        <v>10</v>
      </c>
      <c r="F43" s="3" t="s">
        <v>13</v>
      </c>
    </row>
    <row r="44" spans="1:6" x14ac:dyDescent="0.2">
      <c r="A44" s="2">
        <v>45916</v>
      </c>
      <c r="B44" s="3" t="s">
        <v>52</v>
      </c>
      <c r="C44" s="4">
        <v>-2568.46</v>
      </c>
      <c r="D44" s="4">
        <v>93203.720000000074</v>
      </c>
      <c r="E44" s="3" t="s">
        <v>42</v>
      </c>
      <c r="F44" s="3" t="s">
        <v>43</v>
      </c>
    </row>
    <row r="45" spans="1:6" x14ac:dyDescent="0.2">
      <c r="A45" s="2">
        <v>45916</v>
      </c>
      <c r="B45" s="3" t="s">
        <v>53</v>
      </c>
      <c r="C45" s="4">
        <v>424.2</v>
      </c>
      <c r="D45" s="4">
        <v>93627.920000000071</v>
      </c>
      <c r="E45" s="3" t="s">
        <v>31</v>
      </c>
      <c r="F45" s="3" t="s">
        <v>54</v>
      </c>
    </row>
    <row r="46" spans="1:6" x14ac:dyDescent="0.2">
      <c r="A46" s="2">
        <v>45915</v>
      </c>
      <c r="B46" s="3" t="s">
        <v>55</v>
      </c>
      <c r="C46" s="4">
        <v>-42.25</v>
      </c>
      <c r="D46" s="4">
        <v>95889.80000000009</v>
      </c>
      <c r="E46" s="3" t="s">
        <v>31</v>
      </c>
      <c r="F46" s="3" t="s">
        <v>56</v>
      </c>
    </row>
    <row r="47" spans="1:6" x14ac:dyDescent="0.2">
      <c r="A47" s="2">
        <v>45915</v>
      </c>
      <c r="B47" s="3" t="s">
        <v>57</v>
      </c>
      <c r="C47" s="4">
        <v>-107.6</v>
      </c>
      <c r="D47" s="5">
        <v>95782.200000000084</v>
      </c>
      <c r="E47" s="3" t="s">
        <v>10</v>
      </c>
      <c r="F47" s="3" t="s">
        <v>28</v>
      </c>
    </row>
    <row r="48" spans="1:6" x14ac:dyDescent="0.2">
      <c r="A48" s="2">
        <v>45915</v>
      </c>
      <c r="B48" s="3" t="s">
        <v>9</v>
      </c>
      <c r="C48" s="4">
        <v>-10.02</v>
      </c>
      <c r="D48" s="4">
        <v>95772.18000000008</v>
      </c>
      <c r="E48" s="3" t="s">
        <v>10</v>
      </c>
      <c r="F48" s="3" t="s">
        <v>13</v>
      </c>
    </row>
    <row r="49" spans="1:6" x14ac:dyDescent="0.2">
      <c r="A49" s="2">
        <v>45913</v>
      </c>
      <c r="B49" s="3" t="s">
        <v>9</v>
      </c>
      <c r="C49" s="4">
        <v>-10.119999999999999</v>
      </c>
      <c r="D49" s="4">
        <v>96298.010000000097</v>
      </c>
      <c r="E49" s="3" t="s">
        <v>10</v>
      </c>
      <c r="F49" s="3" t="s">
        <v>13</v>
      </c>
    </row>
    <row r="50" spans="1:6" x14ac:dyDescent="0.2">
      <c r="A50" s="2">
        <v>45913</v>
      </c>
      <c r="B50" s="3" t="s">
        <v>58</v>
      </c>
      <c r="C50" s="4">
        <v>-464.96</v>
      </c>
      <c r="D50" s="4">
        <v>95833.05000000009</v>
      </c>
      <c r="E50" s="3" t="s">
        <v>31</v>
      </c>
      <c r="F50" s="3"/>
    </row>
    <row r="51" spans="1:6" x14ac:dyDescent="0.2">
      <c r="A51" s="2">
        <v>45913</v>
      </c>
      <c r="B51" s="3" t="s">
        <v>59</v>
      </c>
      <c r="C51" s="4">
        <v>99</v>
      </c>
      <c r="D51" s="5">
        <v>95932.05000000009</v>
      </c>
      <c r="E51" s="3" t="s">
        <v>25</v>
      </c>
      <c r="F51" s="3" t="s">
        <v>60</v>
      </c>
    </row>
    <row r="52" spans="1:6" x14ac:dyDescent="0.2">
      <c r="A52" s="2">
        <v>45912</v>
      </c>
      <c r="B52" s="3" t="s">
        <v>9</v>
      </c>
      <c r="C52" s="4">
        <v>-10.01</v>
      </c>
      <c r="D52" s="4">
        <v>96308.130000000092</v>
      </c>
      <c r="E52" s="3" t="s">
        <v>10</v>
      </c>
      <c r="F52" s="3" t="s">
        <v>13</v>
      </c>
    </row>
    <row r="53" spans="1:6" x14ac:dyDescent="0.2">
      <c r="A53" s="2">
        <v>45910</v>
      </c>
      <c r="B53" s="3" t="s">
        <v>61</v>
      </c>
      <c r="C53" s="4">
        <v>-1807.31</v>
      </c>
      <c r="D53" s="4">
        <v>97134.740000000078</v>
      </c>
      <c r="E53" s="3" t="s">
        <v>42</v>
      </c>
      <c r="F53" s="3" t="s">
        <v>43</v>
      </c>
    </row>
    <row r="54" spans="1:6" x14ac:dyDescent="0.2">
      <c r="A54" s="2">
        <v>45910</v>
      </c>
      <c r="B54" s="3" t="s">
        <v>62</v>
      </c>
      <c r="C54" s="4">
        <v>-108.65</v>
      </c>
      <c r="D54" s="4">
        <v>97026.090000000084</v>
      </c>
      <c r="E54" s="3" t="s">
        <v>15</v>
      </c>
      <c r="F54" s="3" t="s">
        <v>56</v>
      </c>
    </row>
    <row r="55" spans="1:6" x14ac:dyDescent="0.2">
      <c r="A55" s="2">
        <v>45910</v>
      </c>
      <c r="B55" s="3" t="s">
        <v>55</v>
      </c>
      <c r="C55" s="4">
        <v>-146.99</v>
      </c>
      <c r="D55" s="5">
        <v>96879.100000000079</v>
      </c>
      <c r="E55" s="3" t="s">
        <v>31</v>
      </c>
      <c r="F55" s="3" t="s">
        <v>56</v>
      </c>
    </row>
    <row r="56" spans="1:6" x14ac:dyDescent="0.2">
      <c r="A56" s="2">
        <v>45910</v>
      </c>
      <c r="B56" s="3" t="s">
        <v>63</v>
      </c>
      <c r="C56" s="4">
        <v>-150.03</v>
      </c>
      <c r="D56" s="5">
        <v>96729.07000000008</v>
      </c>
      <c r="E56" s="3" t="s">
        <v>10</v>
      </c>
      <c r="F56" s="3" t="s">
        <v>64</v>
      </c>
    </row>
    <row r="57" spans="1:6" x14ac:dyDescent="0.2">
      <c r="A57" s="2">
        <v>45910</v>
      </c>
      <c r="B57" s="3" t="s">
        <v>65</v>
      </c>
      <c r="C57" s="4">
        <v>-400.23</v>
      </c>
      <c r="D57" s="5">
        <v>96328.840000000084</v>
      </c>
      <c r="E57" s="3" t="s">
        <v>10</v>
      </c>
      <c r="F57" s="3" t="s">
        <v>66</v>
      </c>
    </row>
    <row r="58" spans="1:6" x14ac:dyDescent="0.2">
      <c r="A58" s="2">
        <v>45910</v>
      </c>
      <c r="B58" s="3" t="s">
        <v>67</v>
      </c>
      <c r="C58" s="4">
        <v>-10.7</v>
      </c>
      <c r="D58" s="5">
        <v>96318.140000000087</v>
      </c>
      <c r="E58" s="3" t="s">
        <v>10</v>
      </c>
      <c r="F58" s="3" t="s">
        <v>28</v>
      </c>
    </row>
    <row r="59" spans="1:6" x14ac:dyDescent="0.2">
      <c r="A59" s="2">
        <v>45909</v>
      </c>
      <c r="B59" s="3" t="s">
        <v>68</v>
      </c>
      <c r="C59" s="4">
        <v>-1974.38</v>
      </c>
      <c r="D59" s="4">
        <v>98989.090000000069</v>
      </c>
      <c r="E59" s="3" t="s">
        <v>42</v>
      </c>
      <c r="F59" s="3" t="s">
        <v>43</v>
      </c>
    </row>
    <row r="60" spans="1:6" x14ac:dyDescent="0.2">
      <c r="A60" s="2">
        <v>45909</v>
      </c>
      <c r="B60" s="3" t="s">
        <v>9</v>
      </c>
      <c r="C60" s="4">
        <v>-10.039999999999999</v>
      </c>
      <c r="D60" s="5">
        <v>98979.050000000076</v>
      </c>
      <c r="E60" s="3" t="s">
        <v>10</v>
      </c>
      <c r="F60" s="3" t="s">
        <v>13</v>
      </c>
    </row>
    <row r="61" spans="1:6" x14ac:dyDescent="0.2">
      <c r="A61" s="2">
        <v>45909</v>
      </c>
      <c r="B61" s="3" t="s">
        <v>69</v>
      </c>
      <c r="C61" s="4">
        <v>-20</v>
      </c>
      <c r="D61" s="5">
        <v>98959.050000000076</v>
      </c>
      <c r="E61" s="3" t="s">
        <v>10</v>
      </c>
      <c r="F61" s="3" t="s">
        <v>70</v>
      </c>
    </row>
    <row r="62" spans="1:6" x14ac:dyDescent="0.2">
      <c r="A62" s="2">
        <v>45909</v>
      </c>
      <c r="B62" s="3" t="s">
        <v>71</v>
      </c>
      <c r="C62" s="4">
        <v>-17</v>
      </c>
      <c r="D62" s="4">
        <v>98942.050000000076</v>
      </c>
      <c r="E62" s="3" t="s">
        <v>10</v>
      </c>
      <c r="F62" s="3" t="s">
        <v>72</v>
      </c>
    </row>
    <row r="63" spans="1:6" x14ac:dyDescent="0.2">
      <c r="A63" s="2">
        <v>45907</v>
      </c>
      <c r="B63" s="3" t="s">
        <v>69</v>
      </c>
      <c r="C63" s="4">
        <v>-21.2</v>
      </c>
      <c r="D63" s="4">
        <v>100963.4700000001</v>
      </c>
      <c r="E63" s="3" t="s">
        <v>10</v>
      </c>
      <c r="F63" s="3" t="s">
        <v>70</v>
      </c>
    </row>
    <row r="64" spans="1:6" x14ac:dyDescent="0.2">
      <c r="A64" s="2">
        <v>45906</v>
      </c>
      <c r="B64" s="3" t="s">
        <v>9</v>
      </c>
      <c r="C64" s="4">
        <v>-11.56</v>
      </c>
      <c r="D64" s="4">
        <v>100984.6700000001</v>
      </c>
      <c r="E64" s="3" t="s">
        <v>10</v>
      </c>
      <c r="F64" s="3" t="s">
        <v>13</v>
      </c>
    </row>
    <row r="65" spans="1:6" x14ac:dyDescent="0.2">
      <c r="A65" s="2">
        <v>45905</v>
      </c>
      <c r="B65" s="3" t="s">
        <v>73</v>
      </c>
      <c r="C65" s="4">
        <v>-340.12</v>
      </c>
      <c r="D65" s="4">
        <v>100996.2300000001</v>
      </c>
      <c r="E65" s="3" t="s">
        <v>10</v>
      </c>
      <c r="F65" s="3" t="s">
        <v>28</v>
      </c>
    </row>
    <row r="66" spans="1:6" x14ac:dyDescent="0.2">
      <c r="A66" s="2">
        <v>45904</v>
      </c>
      <c r="B66" s="3" t="s">
        <v>12</v>
      </c>
      <c r="C66" s="4">
        <v>-59.98</v>
      </c>
      <c r="D66" s="4">
        <v>101391.35000000009</v>
      </c>
      <c r="E66" s="3" t="s">
        <v>10</v>
      </c>
      <c r="F66" s="3" t="s">
        <v>13</v>
      </c>
    </row>
    <row r="67" spans="1:6" x14ac:dyDescent="0.2">
      <c r="A67" s="2">
        <v>45904</v>
      </c>
      <c r="B67" s="3" t="s">
        <v>74</v>
      </c>
      <c r="C67" s="4">
        <v>-55</v>
      </c>
      <c r="D67" s="4">
        <v>101336.35000000009</v>
      </c>
      <c r="E67" s="3" t="s">
        <v>31</v>
      </c>
      <c r="F67" s="3" t="s">
        <v>75</v>
      </c>
    </row>
    <row r="68" spans="1:6" x14ac:dyDescent="0.2">
      <c r="A68" s="2">
        <v>45902</v>
      </c>
      <c r="B68" s="3" t="s">
        <v>17</v>
      </c>
      <c r="C68" s="4">
        <v>-19.260000000000002</v>
      </c>
      <c r="D68" s="4">
        <v>103585.05</v>
      </c>
      <c r="E68" s="3" t="s">
        <v>10</v>
      </c>
      <c r="F68" s="3" t="s">
        <v>18</v>
      </c>
    </row>
    <row r="69" spans="1:6" x14ac:dyDescent="0.2">
      <c r="A69" s="2">
        <v>45902</v>
      </c>
      <c r="B69" s="3" t="s">
        <v>76</v>
      </c>
      <c r="C69" s="4">
        <v>-1942.79</v>
      </c>
      <c r="D69" s="5">
        <v>101642.2600000001</v>
      </c>
      <c r="E69" s="3" t="s">
        <v>10</v>
      </c>
      <c r="F69" s="3" t="s">
        <v>28</v>
      </c>
    </row>
    <row r="70" spans="1:6" x14ac:dyDescent="0.2">
      <c r="A70" s="2">
        <v>45902</v>
      </c>
      <c r="B70" s="3" t="s">
        <v>9</v>
      </c>
      <c r="C70" s="4">
        <v>-10.34</v>
      </c>
      <c r="D70" s="5">
        <v>101631.9200000001</v>
      </c>
      <c r="E70" s="3" t="s">
        <v>10</v>
      </c>
      <c r="F70" s="3" t="s">
        <v>13</v>
      </c>
    </row>
    <row r="71" spans="1:6" x14ac:dyDescent="0.2">
      <c r="A71" s="2">
        <v>45902</v>
      </c>
      <c r="B71" s="3" t="s">
        <v>77</v>
      </c>
      <c r="C71" s="4">
        <v>-0.01</v>
      </c>
      <c r="D71" s="5">
        <v>101631.91000000011</v>
      </c>
      <c r="E71" s="3" t="s">
        <v>15</v>
      </c>
      <c r="F71" s="3" t="s">
        <v>16</v>
      </c>
    </row>
    <row r="72" spans="1:6" x14ac:dyDescent="0.2">
      <c r="A72" s="2">
        <v>45902</v>
      </c>
      <c r="B72" s="3" t="s">
        <v>78</v>
      </c>
      <c r="C72" s="4">
        <v>-180.58</v>
      </c>
      <c r="D72" s="4">
        <v>101451.3300000001</v>
      </c>
      <c r="E72" s="3" t="s">
        <v>10</v>
      </c>
      <c r="F72" s="3" t="s">
        <v>20</v>
      </c>
    </row>
    <row r="73" spans="1:6" x14ac:dyDescent="0.2">
      <c r="A73" s="2">
        <v>45901</v>
      </c>
      <c r="B73" s="3" t="s">
        <v>79</v>
      </c>
      <c r="C73" s="4">
        <v>356.55</v>
      </c>
      <c r="D73" s="4">
        <v>103604.31</v>
      </c>
      <c r="E73" s="3"/>
      <c r="F73" s="3"/>
    </row>
    <row r="74" spans="1:6" x14ac:dyDescent="0.2">
      <c r="A74" s="2">
        <v>45900</v>
      </c>
      <c r="B74" s="3" t="s">
        <v>22</v>
      </c>
      <c r="C74" s="4">
        <v>-21.39</v>
      </c>
      <c r="D74" s="4">
        <v>105236.92</v>
      </c>
      <c r="E74" s="3" t="s">
        <v>15</v>
      </c>
      <c r="F74" s="3" t="s">
        <v>23</v>
      </c>
    </row>
    <row r="75" spans="1:6" x14ac:dyDescent="0.2">
      <c r="A75" s="2">
        <v>45900</v>
      </c>
      <c r="B75" s="3" t="s">
        <v>80</v>
      </c>
      <c r="C75" s="4">
        <v>-1989.16</v>
      </c>
      <c r="D75" s="4">
        <v>103247.76</v>
      </c>
      <c r="E75" s="3" t="s">
        <v>31</v>
      </c>
      <c r="F75" s="3" t="s">
        <v>81</v>
      </c>
    </row>
    <row r="76" spans="1:6" x14ac:dyDescent="0.2">
      <c r="A76" s="2">
        <v>45898</v>
      </c>
      <c r="B76" s="3" t="s">
        <v>82</v>
      </c>
      <c r="C76" s="4">
        <v>-117</v>
      </c>
      <c r="D76" s="4">
        <v>105283.31</v>
      </c>
      <c r="E76" s="3" t="s">
        <v>15</v>
      </c>
      <c r="F76" s="3" t="s">
        <v>83</v>
      </c>
    </row>
    <row r="77" spans="1:6" x14ac:dyDescent="0.2">
      <c r="A77" s="2">
        <v>45898</v>
      </c>
      <c r="B77" s="3" t="s">
        <v>82</v>
      </c>
      <c r="C77" s="4">
        <v>-25</v>
      </c>
      <c r="D77" s="5">
        <v>105258.31</v>
      </c>
      <c r="E77" s="3" t="s">
        <v>15</v>
      </c>
      <c r="F77" s="3" t="s">
        <v>84</v>
      </c>
    </row>
    <row r="78" spans="1:6" x14ac:dyDescent="0.2">
      <c r="A78" s="2">
        <v>45897</v>
      </c>
      <c r="B78" s="3" t="s">
        <v>85</v>
      </c>
      <c r="C78" s="4">
        <v>-0.02</v>
      </c>
      <c r="D78" s="4">
        <v>106499.31</v>
      </c>
      <c r="E78" s="3" t="s">
        <v>15</v>
      </c>
      <c r="F78" s="3" t="s">
        <v>28</v>
      </c>
    </row>
    <row r="79" spans="1:6" x14ac:dyDescent="0.2">
      <c r="A79" s="2">
        <v>45897</v>
      </c>
      <c r="B79" s="3" t="s">
        <v>86</v>
      </c>
      <c r="C79" s="4">
        <v>-1000</v>
      </c>
      <c r="D79" s="5">
        <v>105499.31</v>
      </c>
      <c r="E79" s="3" t="s">
        <v>10</v>
      </c>
      <c r="F79" s="3" t="s">
        <v>20</v>
      </c>
    </row>
    <row r="80" spans="1:6" x14ac:dyDescent="0.2">
      <c r="A80" s="2">
        <v>45897</v>
      </c>
      <c r="B80" s="3" t="s">
        <v>55</v>
      </c>
      <c r="C80" s="4">
        <v>-99</v>
      </c>
      <c r="D80" s="4">
        <v>105400.31</v>
      </c>
      <c r="E80" s="3" t="s">
        <v>25</v>
      </c>
      <c r="F80" s="3" t="s">
        <v>87</v>
      </c>
    </row>
    <row r="81" spans="1:6" x14ac:dyDescent="0.2">
      <c r="A81" s="2">
        <v>45895</v>
      </c>
      <c r="B81" s="3" t="s">
        <v>88</v>
      </c>
      <c r="C81" s="4">
        <v>-1937.52</v>
      </c>
      <c r="D81" s="4">
        <v>108561.36</v>
      </c>
      <c r="E81" s="3" t="s">
        <v>42</v>
      </c>
      <c r="F81" s="3" t="s">
        <v>43</v>
      </c>
    </row>
    <row r="82" spans="1:6" x14ac:dyDescent="0.2">
      <c r="A82" s="2">
        <v>45895</v>
      </c>
      <c r="B82" s="3" t="s">
        <v>89</v>
      </c>
      <c r="C82" s="4">
        <v>-2062.0300000000002</v>
      </c>
      <c r="D82" s="4">
        <v>106499.33</v>
      </c>
      <c r="E82" s="3" t="s">
        <v>15</v>
      </c>
      <c r="F82" s="3" t="s">
        <v>90</v>
      </c>
    </row>
    <row r="83" spans="1:6" x14ac:dyDescent="0.2">
      <c r="A83" s="2">
        <v>45894</v>
      </c>
      <c r="B83" s="3" t="s">
        <v>32</v>
      </c>
      <c r="C83" s="4">
        <v>-41.29</v>
      </c>
      <c r="D83" s="4">
        <v>110548.89</v>
      </c>
      <c r="E83" s="3" t="s">
        <v>10</v>
      </c>
      <c r="F83" s="3" t="s">
        <v>33</v>
      </c>
    </row>
    <row r="84" spans="1:6" x14ac:dyDescent="0.2">
      <c r="A84" s="2">
        <v>45894</v>
      </c>
      <c r="B84" s="3" t="s">
        <v>9</v>
      </c>
      <c r="C84" s="4">
        <v>-10.01</v>
      </c>
      <c r="D84" s="5">
        <v>110538.88</v>
      </c>
      <c r="E84" s="3" t="s">
        <v>10</v>
      </c>
      <c r="F84" s="3" t="s">
        <v>13</v>
      </c>
    </row>
    <row r="85" spans="1:6" x14ac:dyDescent="0.2">
      <c r="A85" s="2">
        <v>45894</v>
      </c>
      <c r="B85" s="3" t="s">
        <v>34</v>
      </c>
      <c r="C85" s="4">
        <v>-40</v>
      </c>
      <c r="D85" s="4">
        <v>110498.88</v>
      </c>
      <c r="E85" s="3" t="s">
        <v>10</v>
      </c>
      <c r="F85" s="3" t="s">
        <v>35</v>
      </c>
    </row>
    <row r="86" spans="1:6" x14ac:dyDescent="0.2">
      <c r="A86" s="2">
        <v>45891</v>
      </c>
      <c r="B86" s="3" t="s">
        <v>91</v>
      </c>
      <c r="C86" s="4">
        <v>-7</v>
      </c>
      <c r="D86" s="4">
        <v>110600.2</v>
      </c>
      <c r="E86" s="3" t="s">
        <v>15</v>
      </c>
      <c r="F86" s="3" t="s">
        <v>51</v>
      </c>
    </row>
    <row r="87" spans="1:6" x14ac:dyDescent="0.2">
      <c r="A87" s="2">
        <v>45891</v>
      </c>
      <c r="B87" s="3" t="s">
        <v>9</v>
      </c>
      <c r="C87" s="4">
        <v>-10.02</v>
      </c>
      <c r="D87" s="4">
        <v>110590.18</v>
      </c>
      <c r="E87" s="3" t="s">
        <v>10</v>
      </c>
      <c r="F87" s="3" t="s">
        <v>13</v>
      </c>
    </row>
    <row r="88" spans="1:6" x14ac:dyDescent="0.2">
      <c r="A88" s="2">
        <v>45890</v>
      </c>
      <c r="B88" s="3" t="s">
        <v>9</v>
      </c>
      <c r="C88" s="4">
        <v>-10.01</v>
      </c>
      <c r="D88" s="4">
        <v>110628.6</v>
      </c>
      <c r="E88" s="3" t="s">
        <v>10</v>
      </c>
      <c r="F88" s="3" t="s">
        <v>13</v>
      </c>
    </row>
    <row r="89" spans="1:6" x14ac:dyDescent="0.2">
      <c r="A89" s="2">
        <v>45890</v>
      </c>
      <c r="B89" s="3" t="s">
        <v>48</v>
      </c>
      <c r="C89" s="4">
        <v>-21.4</v>
      </c>
      <c r="D89" s="5">
        <v>110607.2</v>
      </c>
      <c r="E89" s="3" t="s">
        <v>10</v>
      </c>
      <c r="F89" s="3" t="s">
        <v>28</v>
      </c>
    </row>
    <row r="90" spans="1:6" x14ac:dyDescent="0.2">
      <c r="A90" s="2">
        <v>45889</v>
      </c>
      <c r="B90" s="3" t="s">
        <v>45</v>
      </c>
      <c r="C90" s="4">
        <v>-20.329999999999998</v>
      </c>
      <c r="D90" s="4">
        <v>110638.61</v>
      </c>
      <c r="E90" s="3" t="s">
        <v>15</v>
      </c>
      <c r="F90" s="3" t="s">
        <v>46</v>
      </c>
    </row>
    <row r="91" spans="1:6" x14ac:dyDescent="0.2">
      <c r="A91" s="2">
        <v>45888</v>
      </c>
      <c r="B91" s="3" t="s">
        <v>92</v>
      </c>
      <c r="C91" s="4">
        <v>-2309.23</v>
      </c>
      <c r="D91" s="4">
        <v>111968.88</v>
      </c>
      <c r="E91" s="3" t="s">
        <v>10</v>
      </c>
      <c r="F91" s="3" t="s">
        <v>28</v>
      </c>
    </row>
    <row r="92" spans="1:6" x14ac:dyDescent="0.2">
      <c r="A92" s="2">
        <v>45888</v>
      </c>
      <c r="B92" s="3" t="s">
        <v>93</v>
      </c>
      <c r="C92" s="4">
        <v>-1309.94</v>
      </c>
      <c r="D92" s="5">
        <v>110658.94</v>
      </c>
      <c r="E92" s="3" t="s">
        <v>42</v>
      </c>
      <c r="F92" s="3" t="s">
        <v>43</v>
      </c>
    </row>
    <row r="93" spans="1:6" x14ac:dyDescent="0.2">
      <c r="A93" s="2">
        <v>45884</v>
      </c>
      <c r="B93" s="3" t="s">
        <v>94</v>
      </c>
      <c r="C93" s="4">
        <v>-179.53</v>
      </c>
      <c r="D93" s="4">
        <v>114278.11</v>
      </c>
      <c r="E93" s="3" t="s">
        <v>31</v>
      </c>
      <c r="F93" s="3"/>
    </row>
    <row r="94" spans="1:6" x14ac:dyDescent="0.2">
      <c r="A94" s="2">
        <v>45883</v>
      </c>
      <c r="B94" s="3" t="s">
        <v>95</v>
      </c>
      <c r="C94" s="4">
        <v>-249.32</v>
      </c>
      <c r="D94" s="4">
        <v>114457.64</v>
      </c>
      <c r="E94" s="3" t="s">
        <v>10</v>
      </c>
      <c r="F94" s="3" t="s">
        <v>28</v>
      </c>
    </row>
    <row r="95" spans="1:6" x14ac:dyDescent="0.2">
      <c r="A95" s="2">
        <v>45882</v>
      </c>
      <c r="B95" s="3" t="s">
        <v>96</v>
      </c>
      <c r="C95" s="4">
        <v>-10</v>
      </c>
      <c r="D95" s="4">
        <v>114706.96</v>
      </c>
      <c r="E95" s="3" t="s">
        <v>25</v>
      </c>
      <c r="F95" s="3" t="s">
        <v>97</v>
      </c>
    </row>
    <row r="96" spans="1:6" x14ac:dyDescent="0.2">
      <c r="A96" s="2">
        <v>45881</v>
      </c>
      <c r="B96" s="3" t="s">
        <v>98</v>
      </c>
      <c r="C96" s="4">
        <v>-2288.1799999999998</v>
      </c>
      <c r="D96" s="4">
        <v>115512.74</v>
      </c>
      <c r="E96" s="3" t="s">
        <v>42</v>
      </c>
      <c r="F96" s="3" t="s">
        <v>43</v>
      </c>
    </row>
    <row r="97" spans="1:6" x14ac:dyDescent="0.2">
      <c r="A97" s="2">
        <v>45881</v>
      </c>
      <c r="B97" s="3" t="s">
        <v>99</v>
      </c>
      <c r="C97" s="4">
        <v>-434.37</v>
      </c>
      <c r="D97" s="5">
        <v>115078.37</v>
      </c>
      <c r="E97" s="3" t="s">
        <v>42</v>
      </c>
      <c r="F97" s="3" t="s">
        <v>43</v>
      </c>
    </row>
    <row r="98" spans="1:6" x14ac:dyDescent="0.2">
      <c r="A98" s="2">
        <v>45881</v>
      </c>
      <c r="B98" s="3" t="s">
        <v>63</v>
      </c>
      <c r="C98" s="4">
        <v>-150.07</v>
      </c>
      <c r="D98" s="5">
        <v>114928.3</v>
      </c>
      <c r="E98" s="3" t="s">
        <v>10</v>
      </c>
      <c r="F98" s="3" t="s">
        <v>64</v>
      </c>
    </row>
    <row r="99" spans="1:6" x14ac:dyDescent="0.2">
      <c r="A99" s="2">
        <v>45881</v>
      </c>
      <c r="B99" s="3" t="s">
        <v>62</v>
      </c>
      <c r="C99" s="4">
        <v>-211.34</v>
      </c>
      <c r="D99" s="5">
        <v>114716.96</v>
      </c>
      <c r="E99" s="3" t="s">
        <v>25</v>
      </c>
      <c r="F99" s="3" t="s">
        <v>97</v>
      </c>
    </row>
    <row r="100" spans="1:6" x14ac:dyDescent="0.2">
      <c r="A100" s="2">
        <v>45879</v>
      </c>
      <c r="B100" s="3" t="s">
        <v>9</v>
      </c>
      <c r="C100" s="4">
        <v>-10.36</v>
      </c>
      <c r="D100" s="4">
        <v>117811.62</v>
      </c>
      <c r="E100" s="3" t="s">
        <v>10</v>
      </c>
      <c r="F100" s="3" t="s">
        <v>13</v>
      </c>
    </row>
    <row r="101" spans="1:6" x14ac:dyDescent="0.2">
      <c r="A101" s="2">
        <v>45879</v>
      </c>
      <c r="B101" s="3" t="s">
        <v>100</v>
      </c>
      <c r="C101" s="4">
        <v>-10.7</v>
      </c>
      <c r="D101" s="5">
        <v>117800.92</v>
      </c>
      <c r="E101" s="3" t="s">
        <v>10</v>
      </c>
      <c r="F101" s="3" t="s">
        <v>28</v>
      </c>
    </row>
    <row r="102" spans="1:6" x14ac:dyDescent="0.2">
      <c r="A102" s="2">
        <v>45878</v>
      </c>
      <c r="B102" s="3" t="s">
        <v>69</v>
      </c>
      <c r="C102" s="4">
        <v>-20</v>
      </c>
      <c r="D102" s="4">
        <v>117821.98</v>
      </c>
      <c r="E102" s="3" t="s">
        <v>10</v>
      </c>
      <c r="F102" s="3" t="s">
        <v>70</v>
      </c>
    </row>
    <row r="103" spans="1:6" x14ac:dyDescent="0.2">
      <c r="A103" s="2">
        <v>45877</v>
      </c>
      <c r="B103" s="3" t="s">
        <v>101</v>
      </c>
      <c r="C103" s="4">
        <v>-17</v>
      </c>
      <c r="D103" s="4">
        <v>117841.98</v>
      </c>
      <c r="E103" s="3" t="s">
        <v>10</v>
      </c>
      <c r="F103" s="3" t="s">
        <v>72</v>
      </c>
    </row>
    <row r="104" spans="1:6" x14ac:dyDescent="0.2">
      <c r="A104" s="2">
        <v>45876</v>
      </c>
      <c r="B104" s="3" t="s">
        <v>69</v>
      </c>
      <c r="C104" s="4">
        <v>-21.2</v>
      </c>
      <c r="D104" s="4">
        <v>117858.98</v>
      </c>
      <c r="E104" s="3" t="s">
        <v>10</v>
      </c>
      <c r="F104" s="3" t="s">
        <v>70</v>
      </c>
    </row>
    <row r="105" spans="1:6" x14ac:dyDescent="0.2">
      <c r="A105" s="2">
        <v>45875</v>
      </c>
      <c r="B105" s="3" t="s">
        <v>12</v>
      </c>
      <c r="C105" s="4">
        <v>-24.95</v>
      </c>
      <c r="D105" s="4">
        <v>117880.18</v>
      </c>
      <c r="E105" s="3" t="s">
        <v>10</v>
      </c>
      <c r="F105" s="3" t="s">
        <v>13</v>
      </c>
    </row>
    <row r="106" spans="1:6" x14ac:dyDescent="0.2">
      <c r="A106" s="2">
        <v>45874</v>
      </c>
      <c r="B106" s="3" t="s">
        <v>102</v>
      </c>
      <c r="C106" s="4">
        <v>-2133.04</v>
      </c>
      <c r="D106" s="4">
        <v>117960.13</v>
      </c>
      <c r="E106" s="3" t="s">
        <v>10</v>
      </c>
      <c r="F106" s="3" t="s">
        <v>28</v>
      </c>
    </row>
    <row r="107" spans="1:6" x14ac:dyDescent="0.2">
      <c r="A107" s="2">
        <v>45874</v>
      </c>
      <c r="B107" s="3" t="s">
        <v>103</v>
      </c>
      <c r="C107" s="4">
        <v>-55</v>
      </c>
      <c r="D107" s="4">
        <v>117905.13</v>
      </c>
      <c r="E107" s="3" t="s">
        <v>31</v>
      </c>
      <c r="F107" s="3" t="s">
        <v>75</v>
      </c>
    </row>
    <row r="108" spans="1:6" x14ac:dyDescent="0.2">
      <c r="A108" s="2">
        <v>45871</v>
      </c>
      <c r="B108" s="3" t="s">
        <v>17</v>
      </c>
      <c r="C108" s="4">
        <v>-19.260000000000002</v>
      </c>
      <c r="D108" s="4">
        <v>120501.16</v>
      </c>
      <c r="E108" s="3" t="s">
        <v>10</v>
      </c>
      <c r="F108" s="3" t="s">
        <v>18</v>
      </c>
    </row>
    <row r="109" spans="1:6" x14ac:dyDescent="0.2">
      <c r="A109" s="2">
        <v>45871</v>
      </c>
      <c r="B109" s="3" t="s">
        <v>104</v>
      </c>
      <c r="C109" s="4">
        <v>-407.98</v>
      </c>
      <c r="D109" s="4">
        <v>120093.18</v>
      </c>
      <c r="E109" s="3" t="s">
        <v>10</v>
      </c>
      <c r="F109" s="3" t="s">
        <v>20</v>
      </c>
    </row>
    <row r="110" spans="1:6" x14ac:dyDescent="0.2">
      <c r="A110" s="2">
        <v>45871</v>
      </c>
      <c r="B110" s="3" t="s">
        <v>105</v>
      </c>
      <c r="C110" s="4">
        <v>-0.01</v>
      </c>
      <c r="D110" s="5">
        <v>120093.17</v>
      </c>
      <c r="E110" s="3" t="s">
        <v>15</v>
      </c>
      <c r="F110" s="3" t="s">
        <v>16</v>
      </c>
    </row>
    <row r="111" spans="1:6" x14ac:dyDescent="0.2">
      <c r="A111" s="2">
        <v>45870</v>
      </c>
      <c r="B111" s="3" t="s">
        <v>106</v>
      </c>
      <c r="C111" s="4">
        <v>371.16</v>
      </c>
      <c r="D111" s="4">
        <v>120520.42</v>
      </c>
      <c r="E111" s="3"/>
      <c r="F111" s="3"/>
    </row>
    <row r="112" spans="1:6" x14ac:dyDescent="0.2">
      <c r="A112" s="2">
        <v>45869</v>
      </c>
      <c r="B112" s="3" t="s">
        <v>22</v>
      </c>
      <c r="C112" s="4">
        <v>-21.39</v>
      </c>
      <c r="D112" s="4">
        <v>120149.26</v>
      </c>
      <c r="E112" s="3" t="s">
        <v>15</v>
      </c>
      <c r="F112" s="3" t="s">
        <v>23</v>
      </c>
    </row>
    <row r="113" spans="1:6" x14ac:dyDescent="0.2">
      <c r="A113" s="2">
        <v>45868</v>
      </c>
      <c r="B113" s="3" t="s">
        <v>107</v>
      </c>
      <c r="C113" s="4">
        <v>-245.35</v>
      </c>
      <c r="D113" s="4">
        <v>120170.65</v>
      </c>
      <c r="E113" s="3" t="s">
        <v>42</v>
      </c>
      <c r="F113" s="3" t="s">
        <v>43</v>
      </c>
    </row>
    <row r="114" spans="1:6" x14ac:dyDescent="0.2">
      <c r="A114" s="2">
        <v>45867</v>
      </c>
      <c r="B114" s="3" t="s">
        <v>108</v>
      </c>
      <c r="C114" s="4">
        <v>-2257.8200000000002</v>
      </c>
      <c r="D114" s="4">
        <v>120416</v>
      </c>
      <c r="E114" s="3" t="s">
        <v>42</v>
      </c>
      <c r="F114" s="3" t="s">
        <v>43</v>
      </c>
    </row>
    <row r="115" spans="1:6" x14ac:dyDescent="0.2">
      <c r="A115" s="2">
        <v>45865</v>
      </c>
      <c r="B115" s="3" t="s">
        <v>109</v>
      </c>
      <c r="C115" s="4">
        <v>-577.67999999999995</v>
      </c>
      <c r="D115" s="4">
        <v>122683.82</v>
      </c>
      <c r="E115" s="3" t="s">
        <v>31</v>
      </c>
      <c r="F115" s="3" t="s">
        <v>110</v>
      </c>
    </row>
    <row r="116" spans="1:6" x14ac:dyDescent="0.2">
      <c r="A116" s="2">
        <v>45865</v>
      </c>
      <c r="B116" s="3" t="s">
        <v>9</v>
      </c>
      <c r="C116" s="4">
        <v>-10</v>
      </c>
      <c r="D116" s="4">
        <v>122673.82</v>
      </c>
      <c r="E116" s="3" t="s">
        <v>10</v>
      </c>
      <c r="F116" s="3" t="s">
        <v>13</v>
      </c>
    </row>
    <row r="117" spans="1:6" x14ac:dyDescent="0.2">
      <c r="A117" s="2">
        <v>45863</v>
      </c>
      <c r="B117" s="3" t="s">
        <v>32</v>
      </c>
      <c r="C117" s="4">
        <v>-35.770000000000003</v>
      </c>
      <c r="D117" s="4">
        <v>125716</v>
      </c>
      <c r="E117" s="3" t="s">
        <v>10</v>
      </c>
      <c r="F117" s="3" t="s">
        <v>33</v>
      </c>
    </row>
    <row r="118" spans="1:6" x14ac:dyDescent="0.2">
      <c r="A118" s="2">
        <v>45863</v>
      </c>
      <c r="B118" s="3" t="s">
        <v>111</v>
      </c>
      <c r="C118" s="4">
        <v>-686.1</v>
      </c>
      <c r="D118" s="4">
        <v>125029.9</v>
      </c>
      <c r="E118" s="3" t="s">
        <v>31</v>
      </c>
      <c r="F118" s="3" t="s">
        <v>112</v>
      </c>
    </row>
    <row r="119" spans="1:6" x14ac:dyDescent="0.2">
      <c r="A119" s="2">
        <v>45863</v>
      </c>
      <c r="B119" s="3" t="s">
        <v>113</v>
      </c>
      <c r="C119" s="4">
        <v>-1768.4</v>
      </c>
      <c r="D119" s="5">
        <v>123261.5</v>
      </c>
      <c r="E119" s="3" t="s">
        <v>31</v>
      </c>
      <c r="F119" s="3" t="s">
        <v>114</v>
      </c>
    </row>
    <row r="120" spans="1:6" x14ac:dyDescent="0.2">
      <c r="A120" s="2">
        <v>45862</v>
      </c>
      <c r="B120" s="3" t="s">
        <v>62</v>
      </c>
      <c r="C120" s="4">
        <v>-28.08</v>
      </c>
      <c r="D120" s="4">
        <v>125813.24</v>
      </c>
      <c r="E120" s="3" t="s">
        <v>15</v>
      </c>
      <c r="F120" s="3" t="s">
        <v>56</v>
      </c>
    </row>
    <row r="121" spans="1:6" x14ac:dyDescent="0.2">
      <c r="A121" s="2">
        <v>45862</v>
      </c>
      <c r="B121" s="3" t="s">
        <v>55</v>
      </c>
      <c r="C121" s="4">
        <v>-61.47</v>
      </c>
      <c r="D121" s="4">
        <v>125751.77</v>
      </c>
      <c r="E121" s="3" t="s">
        <v>31</v>
      </c>
      <c r="F121" s="3" t="s">
        <v>56</v>
      </c>
    </row>
    <row r="122" spans="1:6" x14ac:dyDescent="0.2">
      <c r="A122" s="2">
        <v>45860</v>
      </c>
      <c r="B122" s="3" t="s">
        <v>115</v>
      </c>
      <c r="C122" s="4">
        <v>-2657.96</v>
      </c>
      <c r="D122" s="4">
        <v>125899.81</v>
      </c>
      <c r="E122" s="3" t="s">
        <v>42</v>
      </c>
      <c r="F122" s="3" t="s">
        <v>43</v>
      </c>
    </row>
    <row r="123" spans="1:6" x14ac:dyDescent="0.2">
      <c r="A123" s="2">
        <v>45860</v>
      </c>
      <c r="B123" s="3" t="s">
        <v>9</v>
      </c>
      <c r="C123" s="4">
        <v>-10.34</v>
      </c>
      <c r="D123" s="5">
        <v>125889.47</v>
      </c>
      <c r="E123" s="3" t="s">
        <v>10</v>
      </c>
      <c r="F123" s="3" t="s">
        <v>13</v>
      </c>
    </row>
    <row r="124" spans="1:6" x14ac:dyDescent="0.2">
      <c r="A124" s="2">
        <v>45860</v>
      </c>
      <c r="B124" s="3" t="s">
        <v>45</v>
      </c>
      <c r="C124" s="4">
        <v>-48.15</v>
      </c>
      <c r="D124" s="4">
        <v>125841.32</v>
      </c>
      <c r="E124" s="3" t="s">
        <v>15</v>
      </c>
      <c r="F124" s="3" t="s">
        <v>46</v>
      </c>
    </row>
    <row r="125" spans="1:6" x14ac:dyDescent="0.2">
      <c r="A125" s="2">
        <v>45859</v>
      </c>
      <c r="B125" s="3" t="s">
        <v>63</v>
      </c>
      <c r="C125" s="4">
        <v>-150.13999999999999</v>
      </c>
      <c r="D125" s="4">
        <v>128504.28</v>
      </c>
      <c r="E125" s="3" t="s">
        <v>10</v>
      </c>
      <c r="F125" s="3" t="s">
        <v>64</v>
      </c>
    </row>
    <row r="126" spans="1:6" x14ac:dyDescent="0.2">
      <c r="A126" s="2">
        <v>45859</v>
      </c>
      <c r="B126" s="3" t="s">
        <v>48</v>
      </c>
      <c r="C126" s="4">
        <v>-21.4</v>
      </c>
      <c r="D126" s="5">
        <v>128482.88</v>
      </c>
      <c r="E126" s="3" t="s">
        <v>10</v>
      </c>
      <c r="F126" s="3" t="s">
        <v>28</v>
      </c>
    </row>
    <row r="127" spans="1:6" x14ac:dyDescent="0.2">
      <c r="A127" s="2">
        <v>45859</v>
      </c>
      <c r="B127" s="3" t="s">
        <v>116</v>
      </c>
      <c r="C127" s="4">
        <v>74.89</v>
      </c>
      <c r="D127" s="4">
        <v>128557.77</v>
      </c>
      <c r="E127" s="3" t="s">
        <v>25</v>
      </c>
      <c r="F127" s="3" t="s">
        <v>117</v>
      </c>
    </row>
    <row r="128" spans="1:6" x14ac:dyDescent="0.2">
      <c r="A128" s="2">
        <v>45858</v>
      </c>
      <c r="B128" s="3" t="s">
        <v>118</v>
      </c>
      <c r="C128" s="4">
        <v>-500</v>
      </c>
      <c r="D128" s="4">
        <v>128797.42</v>
      </c>
      <c r="E128" s="3" t="s">
        <v>10</v>
      </c>
      <c r="F128" s="3" t="s">
        <v>20</v>
      </c>
    </row>
    <row r="129" spans="1:6" x14ac:dyDescent="0.2">
      <c r="A129" s="2">
        <v>45858</v>
      </c>
      <c r="B129" s="3" t="s">
        <v>49</v>
      </c>
      <c r="C129" s="4">
        <v>-87.5</v>
      </c>
      <c r="D129" s="4">
        <v>128709.92</v>
      </c>
      <c r="E129" s="3" t="s">
        <v>10</v>
      </c>
      <c r="F129" s="3" t="s">
        <v>28</v>
      </c>
    </row>
    <row r="130" spans="1:6" x14ac:dyDescent="0.2">
      <c r="A130" s="2">
        <v>45858</v>
      </c>
      <c r="B130" s="3" t="s">
        <v>65</v>
      </c>
      <c r="C130" s="4">
        <v>-53.5</v>
      </c>
      <c r="D130" s="5">
        <v>128656.42</v>
      </c>
      <c r="E130" s="3" t="s">
        <v>10</v>
      </c>
      <c r="F130" s="3" t="s">
        <v>66</v>
      </c>
    </row>
    <row r="131" spans="1:6" x14ac:dyDescent="0.2">
      <c r="A131" s="2">
        <v>45858</v>
      </c>
      <c r="B131" s="3" t="s">
        <v>49</v>
      </c>
      <c r="C131" s="4">
        <v>-2</v>
      </c>
      <c r="D131" s="5">
        <v>128654.42</v>
      </c>
      <c r="E131" s="3" t="s">
        <v>10</v>
      </c>
      <c r="F131" s="3" t="s">
        <v>28</v>
      </c>
    </row>
    <row r="132" spans="1:6" x14ac:dyDescent="0.2">
      <c r="A132" s="2">
        <v>45856</v>
      </c>
      <c r="B132" s="3" t="s">
        <v>119</v>
      </c>
      <c r="C132" s="4">
        <v>-658.67</v>
      </c>
      <c r="D132" s="4">
        <v>130428.6</v>
      </c>
      <c r="E132" s="3" t="s">
        <v>10</v>
      </c>
      <c r="F132" s="3" t="s">
        <v>28</v>
      </c>
    </row>
    <row r="133" spans="1:6" x14ac:dyDescent="0.2">
      <c r="A133" s="2">
        <v>45856</v>
      </c>
      <c r="B133" s="3" t="s">
        <v>120</v>
      </c>
      <c r="C133" s="4">
        <v>-271.95</v>
      </c>
      <c r="D133" s="4">
        <v>130156.65</v>
      </c>
      <c r="E133" s="3" t="s">
        <v>31</v>
      </c>
      <c r="F133" s="3" t="s">
        <v>121</v>
      </c>
    </row>
    <row r="134" spans="1:6" x14ac:dyDescent="0.2">
      <c r="A134" s="2">
        <v>45856</v>
      </c>
      <c r="B134" s="3" t="s">
        <v>122</v>
      </c>
      <c r="C134" s="4">
        <v>-859.23</v>
      </c>
      <c r="D134" s="5">
        <v>129297.42</v>
      </c>
      <c r="E134" s="3" t="s">
        <v>31</v>
      </c>
      <c r="F134" s="3" t="s">
        <v>123</v>
      </c>
    </row>
    <row r="135" spans="1:6" x14ac:dyDescent="0.2">
      <c r="A135" s="2">
        <v>45855</v>
      </c>
      <c r="B135" s="3" t="s">
        <v>124</v>
      </c>
      <c r="C135" s="4">
        <v>-208.13</v>
      </c>
      <c r="D135" s="4">
        <v>143442.20000000001</v>
      </c>
      <c r="E135" s="3" t="s">
        <v>31</v>
      </c>
      <c r="F135" s="3"/>
    </row>
    <row r="136" spans="1:6" x14ac:dyDescent="0.2">
      <c r="A136" s="2">
        <v>45855</v>
      </c>
      <c r="B136" s="3" t="s">
        <v>49</v>
      </c>
      <c r="C136" s="4">
        <v>-93.75</v>
      </c>
      <c r="D136" s="4">
        <v>143348.45000000001</v>
      </c>
      <c r="E136" s="3" t="s">
        <v>10</v>
      </c>
      <c r="F136" s="3" t="s">
        <v>28</v>
      </c>
    </row>
    <row r="137" spans="1:6" x14ac:dyDescent="0.2">
      <c r="A137" s="2">
        <v>45855</v>
      </c>
      <c r="B137" s="3" t="s">
        <v>49</v>
      </c>
      <c r="C137" s="4">
        <v>-2</v>
      </c>
      <c r="D137" s="5">
        <v>143346.45000000001</v>
      </c>
      <c r="E137" s="3" t="s">
        <v>10</v>
      </c>
      <c r="F137" s="3" t="s">
        <v>28</v>
      </c>
    </row>
    <row r="138" spans="1:6" x14ac:dyDescent="0.2">
      <c r="A138" s="2">
        <v>45855</v>
      </c>
      <c r="B138" s="3" t="s">
        <v>125</v>
      </c>
      <c r="C138" s="4">
        <v>608.01</v>
      </c>
      <c r="D138" s="5">
        <v>143954.46</v>
      </c>
      <c r="E138" s="3" t="s">
        <v>25</v>
      </c>
      <c r="F138" s="3" t="s">
        <v>126</v>
      </c>
    </row>
    <row r="139" spans="1:6" x14ac:dyDescent="0.2">
      <c r="A139" s="2">
        <v>45855</v>
      </c>
      <c r="B139" s="3" t="s">
        <v>127</v>
      </c>
      <c r="C139" s="4">
        <v>-2808.63</v>
      </c>
      <c r="D139" s="5">
        <v>141145.82999999999</v>
      </c>
      <c r="E139" s="3" t="s">
        <v>31</v>
      </c>
      <c r="F139" s="3" t="s">
        <v>128</v>
      </c>
    </row>
    <row r="140" spans="1:6" x14ac:dyDescent="0.2">
      <c r="A140" s="2">
        <v>45855</v>
      </c>
      <c r="B140" s="3" t="s">
        <v>129</v>
      </c>
      <c r="C140" s="4">
        <v>-1426.04</v>
      </c>
      <c r="D140" s="5">
        <v>139719.79</v>
      </c>
      <c r="E140" s="3" t="s">
        <v>31</v>
      </c>
      <c r="F140" s="3" t="s">
        <v>130</v>
      </c>
    </row>
    <row r="141" spans="1:6" x14ac:dyDescent="0.2">
      <c r="A141" s="2">
        <v>45855</v>
      </c>
      <c r="B141" s="3" t="s">
        <v>131</v>
      </c>
      <c r="C141" s="4">
        <v>-1508.54</v>
      </c>
      <c r="D141" s="5">
        <v>138211.25</v>
      </c>
      <c r="E141" s="3" t="s">
        <v>31</v>
      </c>
      <c r="F141" s="3" t="s">
        <v>132</v>
      </c>
    </row>
    <row r="142" spans="1:6" x14ac:dyDescent="0.2">
      <c r="A142" s="2">
        <v>45855</v>
      </c>
      <c r="B142" s="3" t="s">
        <v>127</v>
      </c>
      <c r="C142" s="4">
        <v>-2810.81</v>
      </c>
      <c r="D142" s="5">
        <v>135400.44</v>
      </c>
      <c r="E142" s="3" t="s">
        <v>31</v>
      </c>
      <c r="F142" s="3" t="s">
        <v>133</v>
      </c>
    </row>
    <row r="143" spans="1:6" x14ac:dyDescent="0.2">
      <c r="A143" s="2">
        <v>45855</v>
      </c>
      <c r="B143" s="3" t="s">
        <v>134</v>
      </c>
      <c r="C143" s="4">
        <v>-2810.8</v>
      </c>
      <c r="D143" s="5">
        <v>132589.64000000001</v>
      </c>
      <c r="E143" s="3" t="s">
        <v>31</v>
      </c>
      <c r="F143" s="3" t="s">
        <v>135</v>
      </c>
    </row>
    <row r="144" spans="1:6" x14ac:dyDescent="0.2">
      <c r="A144" s="2">
        <v>45855</v>
      </c>
      <c r="B144" s="3" t="s">
        <v>129</v>
      </c>
      <c r="C144" s="4">
        <v>-1502.37</v>
      </c>
      <c r="D144" s="5">
        <v>131087.26999999999</v>
      </c>
      <c r="E144" s="3" t="s">
        <v>31</v>
      </c>
      <c r="F144" s="3" t="s">
        <v>132</v>
      </c>
    </row>
    <row r="145" spans="1:6" x14ac:dyDescent="0.2">
      <c r="A145" s="2">
        <v>45854</v>
      </c>
      <c r="B145" s="3" t="s">
        <v>9</v>
      </c>
      <c r="C145" s="4">
        <v>-10.89</v>
      </c>
      <c r="D145" s="4">
        <v>143650.32999999999</v>
      </c>
      <c r="E145" s="3" t="s">
        <v>10</v>
      </c>
      <c r="F145" s="3" t="s">
        <v>13</v>
      </c>
    </row>
    <row r="146" spans="1:6" x14ac:dyDescent="0.2">
      <c r="A146" s="2">
        <v>45853</v>
      </c>
      <c r="B146" s="3" t="s">
        <v>136</v>
      </c>
      <c r="C146" s="4">
        <v>-2444.02</v>
      </c>
      <c r="D146" s="4">
        <v>143864.04</v>
      </c>
      <c r="E146" s="3" t="s">
        <v>10</v>
      </c>
      <c r="F146" s="3" t="s">
        <v>28</v>
      </c>
    </row>
    <row r="147" spans="1:6" x14ac:dyDescent="0.2">
      <c r="A147" s="2">
        <v>45853</v>
      </c>
      <c r="B147" s="3" t="s">
        <v>137</v>
      </c>
      <c r="C147" s="4">
        <v>-74.89</v>
      </c>
      <c r="D147" s="4">
        <v>143789.15</v>
      </c>
      <c r="E147" s="3" t="s">
        <v>25</v>
      </c>
      <c r="F147" s="3" t="s">
        <v>138</v>
      </c>
    </row>
    <row r="148" spans="1:6" x14ac:dyDescent="0.2">
      <c r="A148" s="2">
        <v>45853</v>
      </c>
      <c r="B148" s="3" t="s">
        <v>58</v>
      </c>
      <c r="C148" s="4">
        <v>-127.93</v>
      </c>
      <c r="D148" s="4">
        <v>143661.22</v>
      </c>
      <c r="E148" s="3" t="s">
        <v>31</v>
      </c>
      <c r="F148" s="3"/>
    </row>
    <row r="149" spans="1:6" x14ac:dyDescent="0.2">
      <c r="A149" s="2">
        <v>45851</v>
      </c>
      <c r="B149" s="3" t="s">
        <v>55</v>
      </c>
      <c r="C149" s="4">
        <v>-49.81</v>
      </c>
      <c r="D149" s="4">
        <v>146357.87</v>
      </c>
      <c r="E149" s="3" t="s">
        <v>15</v>
      </c>
      <c r="F149" s="3" t="s">
        <v>56</v>
      </c>
    </row>
    <row r="150" spans="1:6" x14ac:dyDescent="0.2">
      <c r="A150" s="2">
        <v>45851</v>
      </c>
      <c r="B150" s="3" t="s">
        <v>55</v>
      </c>
      <c r="C150" s="4">
        <v>-49.81</v>
      </c>
      <c r="D150" s="4">
        <v>146308.06</v>
      </c>
      <c r="E150" s="3" t="s">
        <v>15</v>
      </c>
      <c r="F150" s="3" t="s">
        <v>56</v>
      </c>
    </row>
    <row r="151" spans="1:6" x14ac:dyDescent="0.2">
      <c r="A151" s="2">
        <v>45848</v>
      </c>
      <c r="B151" s="3" t="s">
        <v>139</v>
      </c>
      <c r="C151" s="4">
        <v>-16.170000000000002</v>
      </c>
      <c r="D151" s="4">
        <v>146407.67999999999</v>
      </c>
      <c r="E151" s="3" t="s">
        <v>10</v>
      </c>
      <c r="F151" s="3" t="s">
        <v>72</v>
      </c>
    </row>
    <row r="152" spans="1:6" x14ac:dyDescent="0.2">
      <c r="A152" s="2">
        <v>45847</v>
      </c>
      <c r="B152" s="3" t="s">
        <v>140</v>
      </c>
      <c r="C152" s="4">
        <v>-350</v>
      </c>
      <c r="D152" s="4">
        <v>146455.15</v>
      </c>
      <c r="E152" s="3" t="s">
        <v>31</v>
      </c>
      <c r="F152" s="3" t="s">
        <v>141</v>
      </c>
    </row>
    <row r="153" spans="1:6" x14ac:dyDescent="0.2">
      <c r="A153" s="2">
        <v>45847</v>
      </c>
      <c r="B153" s="3" t="s">
        <v>9</v>
      </c>
      <c r="C153" s="4">
        <v>-11.3</v>
      </c>
      <c r="D153" s="4">
        <v>146443.85</v>
      </c>
      <c r="E153" s="3" t="s">
        <v>10</v>
      </c>
      <c r="F153" s="3" t="s">
        <v>13</v>
      </c>
    </row>
    <row r="154" spans="1:6" x14ac:dyDescent="0.2">
      <c r="A154" s="2">
        <v>45847</v>
      </c>
      <c r="B154" s="3" t="s">
        <v>69</v>
      </c>
      <c r="C154" s="4">
        <v>-20</v>
      </c>
      <c r="D154" s="5">
        <v>146423.85</v>
      </c>
      <c r="E154" s="3" t="s">
        <v>10</v>
      </c>
      <c r="F154" s="3" t="s">
        <v>70</v>
      </c>
    </row>
    <row r="155" spans="1:6" x14ac:dyDescent="0.2">
      <c r="A155" s="2">
        <v>45846</v>
      </c>
      <c r="B155" s="3" t="s">
        <v>142</v>
      </c>
      <c r="C155" s="4">
        <v>-32.36</v>
      </c>
      <c r="D155" s="4">
        <v>149439.76999999999</v>
      </c>
      <c r="E155" s="3" t="s">
        <v>10</v>
      </c>
      <c r="F155" s="3" t="s">
        <v>143</v>
      </c>
    </row>
    <row r="156" spans="1:6" x14ac:dyDescent="0.2">
      <c r="A156" s="2">
        <v>45846</v>
      </c>
      <c r="B156" s="3" t="s">
        <v>144</v>
      </c>
      <c r="C156" s="4">
        <v>-2634.62</v>
      </c>
      <c r="D156" s="4">
        <v>146805.15</v>
      </c>
      <c r="E156" s="3" t="s">
        <v>42</v>
      </c>
      <c r="F156" s="3" t="s">
        <v>43</v>
      </c>
    </row>
    <row r="157" spans="1:6" x14ac:dyDescent="0.2">
      <c r="A157" s="2">
        <v>45845</v>
      </c>
      <c r="B157" s="3" t="s">
        <v>69</v>
      </c>
      <c r="C157" s="4">
        <v>-21.2</v>
      </c>
      <c r="D157" s="4">
        <v>149472.13</v>
      </c>
      <c r="E157" s="3" t="s">
        <v>10</v>
      </c>
      <c r="F157" s="3" t="s">
        <v>70</v>
      </c>
    </row>
    <row r="158" spans="1:6" x14ac:dyDescent="0.2">
      <c r="A158" s="2">
        <v>45843</v>
      </c>
      <c r="B158" s="3" t="s">
        <v>58</v>
      </c>
      <c r="C158" s="4">
        <v>-303.49</v>
      </c>
      <c r="D158" s="4">
        <v>149493.32999999999</v>
      </c>
      <c r="E158" s="3" t="s">
        <v>31</v>
      </c>
      <c r="F158" s="3"/>
    </row>
    <row r="159" spans="1:6" x14ac:dyDescent="0.2">
      <c r="A159" s="2">
        <v>45842</v>
      </c>
      <c r="B159" s="3" t="s">
        <v>9</v>
      </c>
      <c r="C159" s="4">
        <v>-10.23</v>
      </c>
      <c r="D159" s="4">
        <v>149210.81</v>
      </c>
      <c r="E159" s="3" t="s">
        <v>10</v>
      </c>
      <c r="F159" s="3" t="s">
        <v>13</v>
      </c>
    </row>
    <row r="160" spans="1:6" x14ac:dyDescent="0.2">
      <c r="A160" s="2">
        <v>45842</v>
      </c>
      <c r="B160" s="3" t="s">
        <v>12</v>
      </c>
      <c r="C160" s="4">
        <v>-24.95</v>
      </c>
      <c r="D160" s="5">
        <v>149185.85999999999</v>
      </c>
      <c r="E160" s="3" t="s">
        <v>10</v>
      </c>
      <c r="F160" s="3" t="s">
        <v>13</v>
      </c>
    </row>
    <row r="161" spans="1:6" x14ac:dyDescent="0.2">
      <c r="A161" s="2">
        <v>45842</v>
      </c>
      <c r="B161" s="3" t="s">
        <v>125</v>
      </c>
      <c r="C161" s="4">
        <v>610.96</v>
      </c>
      <c r="D161" s="4">
        <v>149796.82</v>
      </c>
      <c r="E161" s="3" t="s">
        <v>25</v>
      </c>
      <c r="F161" s="3" t="s">
        <v>126</v>
      </c>
    </row>
    <row r="162" spans="1:6" x14ac:dyDescent="0.2">
      <c r="A162" s="2">
        <v>45840</v>
      </c>
      <c r="B162" s="3" t="s">
        <v>145</v>
      </c>
      <c r="C162" s="4">
        <v>-48.94</v>
      </c>
      <c r="D162" s="4">
        <v>150875.01</v>
      </c>
      <c r="E162" s="3" t="s">
        <v>10</v>
      </c>
      <c r="F162" s="3" t="s">
        <v>20</v>
      </c>
    </row>
    <row r="163" spans="1:6" x14ac:dyDescent="0.2">
      <c r="A163" s="2">
        <v>45840</v>
      </c>
      <c r="B163" s="3" t="s">
        <v>17</v>
      </c>
      <c r="C163" s="4">
        <v>-19.260000000000002</v>
      </c>
      <c r="D163" s="5">
        <v>150855.75</v>
      </c>
      <c r="E163" s="3" t="s">
        <v>10</v>
      </c>
      <c r="F163" s="3" t="s">
        <v>18</v>
      </c>
    </row>
    <row r="164" spans="1:6" x14ac:dyDescent="0.2">
      <c r="A164" s="2">
        <v>45840</v>
      </c>
      <c r="B164" s="3" t="s">
        <v>146</v>
      </c>
      <c r="C164" s="4">
        <v>-415.66</v>
      </c>
      <c r="D164" s="4">
        <v>150440.09</v>
      </c>
      <c r="E164" s="3" t="s">
        <v>10</v>
      </c>
      <c r="F164" s="3" t="s">
        <v>20</v>
      </c>
    </row>
    <row r="165" spans="1:6" x14ac:dyDescent="0.2">
      <c r="A165" s="2">
        <v>45840</v>
      </c>
      <c r="B165" s="3" t="s">
        <v>147</v>
      </c>
      <c r="C165" s="4">
        <v>-0.08</v>
      </c>
      <c r="D165" s="5">
        <v>150440.01</v>
      </c>
      <c r="E165" s="3" t="s">
        <v>15</v>
      </c>
      <c r="F165" s="3" t="s">
        <v>16</v>
      </c>
    </row>
    <row r="166" spans="1:6" x14ac:dyDescent="0.2">
      <c r="A166" s="2">
        <v>45840</v>
      </c>
      <c r="B166" s="3" t="s">
        <v>94</v>
      </c>
      <c r="C166" s="4">
        <v>-608.01</v>
      </c>
      <c r="D166" s="5">
        <v>149832</v>
      </c>
      <c r="E166" s="3" t="s">
        <v>25</v>
      </c>
      <c r="F166" s="3" t="s">
        <v>148</v>
      </c>
    </row>
    <row r="167" spans="1:6" x14ac:dyDescent="0.2">
      <c r="A167" s="2">
        <v>45840</v>
      </c>
      <c r="B167" s="3" t="s">
        <v>94</v>
      </c>
      <c r="C167" s="4">
        <v>-610.96</v>
      </c>
      <c r="D167" s="5">
        <v>149221.04</v>
      </c>
      <c r="E167" s="3" t="s">
        <v>25</v>
      </c>
      <c r="F167" s="3" t="s">
        <v>149</v>
      </c>
    </row>
    <row r="168" spans="1:6" x14ac:dyDescent="0.2">
      <c r="A168" s="2">
        <v>45839</v>
      </c>
      <c r="B168" s="3" t="s">
        <v>150</v>
      </c>
      <c r="C168" s="4">
        <v>144.9</v>
      </c>
      <c r="D168" s="4">
        <v>153196.14000000001</v>
      </c>
      <c r="E168" s="3"/>
      <c r="F168" s="3"/>
    </row>
    <row r="169" spans="1:6" x14ac:dyDescent="0.2">
      <c r="A169" s="2">
        <v>45839</v>
      </c>
      <c r="B169" s="3" t="s">
        <v>151</v>
      </c>
      <c r="C169" s="4">
        <v>-2250.8000000000002</v>
      </c>
      <c r="D169" s="4">
        <v>150945.34</v>
      </c>
      <c r="E169" s="3" t="s">
        <v>10</v>
      </c>
      <c r="F169" s="3" t="s">
        <v>28</v>
      </c>
    </row>
    <row r="170" spans="1:6" x14ac:dyDescent="0.2">
      <c r="A170" s="2">
        <v>45839</v>
      </c>
      <c r="B170" s="3" t="s">
        <v>22</v>
      </c>
      <c r="C170" s="4">
        <v>-21.39</v>
      </c>
      <c r="D170" s="5">
        <v>150923.95000000001</v>
      </c>
      <c r="E170" s="3" t="s">
        <v>15</v>
      </c>
      <c r="F170" s="3" t="s">
        <v>23</v>
      </c>
    </row>
    <row r="171" spans="1:6" x14ac:dyDescent="0.2">
      <c r="A171" s="2">
        <v>45838</v>
      </c>
      <c r="B171" s="3" t="s">
        <v>12</v>
      </c>
      <c r="C171" s="4">
        <v>-0.33</v>
      </c>
      <c r="D171" s="4">
        <v>153051.24</v>
      </c>
      <c r="E171" s="3" t="s">
        <v>15</v>
      </c>
      <c r="F171" s="3" t="s">
        <v>16</v>
      </c>
    </row>
    <row r="172" spans="1:6" x14ac:dyDescent="0.2">
      <c r="A172" s="2">
        <v>45836</v>
      </c>
      <c r="B172" s="3" t="s">
        <v>9</v>
      </c>
      <c r="C172" s="4">
        <v>-10</v>
      </c>
      <c r="D172" s="4">
        <v>154125.78</v>
      </c>
      <c r="E172" s="3" t="s">
        <v>10</v>
      </c>
      <c r="F172" s="3" t="s">
        <v>13</v>
      </c>
    </row>
    <row r="173" spans="1:6" x14ac:dyDescent="0.2">
      <c r="A173" s="2">
        <v>45836</v>
      </c>
      <c r="B173" s="3" t="s">
        <v>152</v>
      </c>
      <c r="C173" s="4">
        <v>-1074.21</v>
      </c>
      <c r="D173" s="4">
        <v>153051.57</v>
      </c>
      <c r="E173" s="3" t="s">
        <v>31</v>
      </c>
      <c r="F173" s="3"/>
    </row>
    <row r="174" spans="1:6" x14ac:dyDescent="0.2">
      <c r="A174" s="2">
        <v>45835</v>
      </c>
      <c r="B174" s="3" t="s">
        <v>153</v>
      </c>
      <c r="C174" s="4">
        <v>2788.48</v>
      </c>
      <c r="D174" s="4">
        <v>154135.78</v>
      </c>
      <c r="E174" s="3" t="s">
        <v>154</v>
      </c>
      <c r="F174" s="3"/>
    </row>
    <row r="175" spans="1:6" x14ac:dyDescent="0.2">
      <c r="A175" s="2">
        <v>45834</v>
      </c>
      <c r="B175" s="3" t="s">
        <v>155</v>
      </c>
      <c r="C175" s="4">
        <v>25000</v>
      </c>
      <c r="D175" s="4">
        <v>151347.29999999999</v>
      </c>
      <c r="E175" s="3" t="s">
        <v>31</v>
      </c>
      <c r="F175" s="3" t="s">
        <v>156</v>
      </c>
    </row>
    <row r="176" spans="1:6" x14ac:dyDescent="0.2">
      <c r="A176" s="2">
        <v>45833</v>
      </c>
      <c r="B176" s="3" t="s">
        <v>32</v>
      </c>
      <c r="C176" s="4">
        <v>-35.42</v>
      </c>
      <c r="D176" s="4">
        <v>126453.3</v>
      </c>
      <c r="E176" s="3" t="s">
        <v>10</v>
      </c>
      <c r="F176" s="3" t="s">
        <v>33</v>
      </c>
    </row>
    <row r="177" spans="1:6" x14ac:dyDescent="0.2">
      <c r="A177" s="2">
        <v>45833</v>
      </c>
      <c r="B177" s="3" t="s">
        <v>63</v>
      </c>
      <c r="C177" s="4">
        <v>-106</v>
      </c>
      <c r="D177" s="4">
        <v>126347.3</v>
      </c>
      <c r="E177" s="3" t="s">
        <v>10</v>
      </c>
      <c r="F177" s="3" t="s">
        <v>64</v>
      </c>
    </row>
    <row r="178" spans="1:6" x14ac:dyDescent="0.2">
      <c r="A178" s="2">
        <v>45832</v>
      </c>
      <c r="B178" s="3" t="s">
        <v>157</v>
      </c>
      <c r="C178" s="4">
        <v>-1911.38</v>
      </c>
      <c r="D178" s="4">
        <v>126488.72</v>
      </c>
      <c r="E178" s="3" t="s">
        <v>42</v>
      </c>
      <c r="F178" s="3" t="s">
        <v>43</v>
      </c>
    </row>
    <row r="179" spans="1:6" x14ac:dyDescent="0.2">
      <c r="A179" s="2">
        <v>45831</v>
      </c>
      <c r="B179" s="3" t="s">
        <v>158</v>
      </c>
      <c r="C179" s="4">
        <v>50000</v>
      </c>
      <c r="D179" s="4">
        <v>128445.1</v>
      </c>
      <c r="E179" s="3" t="s">
        <v>31</v>
      </c>
      <c r="F179" s="3" t="s">
        <v>159</v>
      </c>
    </row>
    <row r="180" spans="1:6" x14ac:dyDescent="0.2">
      <c r="A180" s="2">
        <v>45831</v>
      </c>
      <c r="B180" s="3" t="s">
        <v>45</v>
      </c>
      <c r="C180" s="4">
        <v>-45</v>
      </c>
      <c r="D180" s="5">
        <v>128400.1</v>
      </c>
      <c r="E180" s="3" t="s">
        <v>15</v>
      </c>
      <c r="F180" s="3" t="s">
        <v>46</v>
      </c>
    </row>
    <row r="181" spans="1:6" x14ac:dyDescent="0.2">
      <c r="A181" s="2">
        <v>45830</v>
      </c>
      <c r="B181" s="3" t="s">
        <v>9</v>
      </c>
      <c r="C181" s="4">
        <v>-11.46</v>
      </c>
      <c r="D181" s="4">
        <v>78445.099999999991</v>
      </c>
      <c r="E181" s="3" t="s">
        <v>10</v>
      </c>
      <c r="F181" s="3" t="s">
        <v>13</v>
      </c>
    </row>
    <row r="182" spans="1:6" x14ac:dyDescent="0.2">
      <c r="A182" s="2">
        <v>45829</v>
      </c>
      <c r="B182" s="3" t="s">
        <v>48</v>
      </c>
      <c r="C182" s="4">
        <v>-21.4</v>
      </c>
      <c r="D182" s="4">
        <v>78456.56</v>
      </c>
      <c r="E182" s="3" t="s">
        <v>10</v>
      </c>
      <c r="F182" s="3" t="s">
        <v>28</v>
      </c>
    </row>
    <row r="183" spans="1:6" x14ac:dyDescent="0.2">
      <c r="A183" s="2">
        <v>45828</v>
      </c>
      <c r="B183" s="3" t="s">
        <v>49</v>
      </c>
      <c r="C183" s="4">
        <v>-2</v>
      </c>
      <c r="D183" s="5">
        <v>78565.459999999992</v>
      </c>
      <c r="E183" s="3" t="s">
        <v>10</v>
      </c>
      <c r="F183" s="3" t="s">
        <v>28</v>
      </c>
    </row>
    <row r="184" spans="1:6" x14ac:dyDescent="0.2">
      <c r="A184" s="2">
        <v>45828</v>
      </c>
      <c r="B184" s="3" t="s">
        <v>160</v>
      </c>
      <c r="C184" s="4">
        <v>-87.5</v>
      </c>
      <c r="D184" s="4">
        <v>78477.959999999992</v>
      </c>
      <c r="E184" s="3" t="s">
        <v>10</v>
      </c>
      <c r="F184" s="3" t="s">
        <v>28</v>
      </c>
    </row>
    <row r="185" spans="1:6" x14ac:dyDescent="0.2">
      <c r="A185" s="2">
        <v>45827</v>
      </c>
      <c r="B185" s="3" t="s">
        <v>94</v>
      </c>
      <c r="C185" s="4">
        <v>-397.23</v>
      </c>
      <c r="D185" s="5">
        <v>78751.099999999991</v>
      </c>
      <c r="E185" s="3" t="s">
        <v>25</v>
      </c>
      <c r="F185" s="3" t="s">
        <v>161</v>
      </c>
    </row>
    <row r="186" spans="1:6" x14ac:dyDescent="0.2">
      <c r="A186" s="2">
        <v>45827</v>
      </c>
      <c r="B186" s="3" t="s">
        <v>94</v>
      </c>
      <c r="C186" s="4">
        <v>-580.87</v>
      </c>
      <c r="D186" s="4">
        <v>78170.23</v>
      </c>
      <c r="E186" s="3" t="s">
        <v>31</v>
      </c>
      <c r="F186" s="3"/>
    </row>
    <row r="187" spans="1:6" x14ac:dyDescent="0.2">
      <c r="A187" s="2">
        <v>45827</v>
      </c>
      <c r="B187" s="3" t="s">
        <v>125</v>
      </c>
      <c r="C187" s="4">
        <v>397.23</v>
      </c>
      <c r="D187" s="5">
        <v>78567.459999999992</v>
      </c>
      <c r="E187" s="3" t="s">
        <v>25</v>
      </c>
      <c r="F187" s="3" t="s">
        <v>162</v>
      </c>
    </row>
    <row r="188" spans="1:6" x14ac:dyDescent="0.2">
      <c r="A188" s="2">
        <v>45825</v>
      </c>
      <c r="B188" s="3" t="s">
        <v>160</v>
      </c>
      <c r="C188" s="4">
        <v>-93.75</v>
      </c>
      <c r="D188" s="4">
        <v>82126.039999999994</v>
      </c>
      <c r="E188" s="3" t="s">
        <v>10</v>
      </c>
      <c r="F188" s="3" t="s">
        <v>28</v>
      </c>
    </row>
    <row r="189" spans="1:6" x14ac:dyDescent="0.2">
      <c r="A189" s="2">
        <v>45825</v>
      </c>
      <c r="B189" s="3" t="s">
        <v>163</v>
      </c>
      <c r="C189" s="4">
        <v>-200</v>
      </c>
      <c r="D189" s="4">
        <v>81926.039999999994</v>
      </c>
      <c r="E189" s="3" t="s">
        <v>10</v>
      </c>
      <c r="F189" s="3" t="s">
        <v>20</v>
      </c>
    </row>
    <row r="190" spans="1:6" x14ac:dyDescent="0.2">
      <c r="A190" s="2">
        <v>45825</v>
      </c>
      <c r="B190" s="3" t="s">
        <v>160</v>
      </c>
      <c r="C190" s="4">
        <v>-2</v>
      </c>
      <c r="D190" s="5">
        <v>81924.039999999994</v>
      </c>
      <c r="E190" s="3" t="s">
        <v>10</v>
      </c>
      <c r="F190" s="3" t="s">
        <v>28</v>
      </c>
    </row>
    <row r="191" spans="1:6" x14ac:dyDescent="0.2">
      <c r="A191" s="2">
        <v>45825</v>
      </c>
      <c r="B191" s="3" t="s">
        <v>164</v>
      </c>
      <c r="C191" s="4">
        <v>-2775.71</v>
      </c>
      <c r="D191" s="5">
        <v>79148.329999999987</v>
      </c>
      <c r="E191" s="3" t="s">
        <v>42</v>
      </c>
      <c r="F191" s="3" t="s">
        <v>43</v>
      </c>
    </row>
    <row r="192" spans="1:6" x14ac:dyDescent="0.2">
      <c r="A192" s="2">
        <v>45824</v>
      </c>
      <c r="B192" s="3" t="s">
        <v>165</v>
      </c>
      <c r="C192" s="4">
        <v>-1081.82</v>
      </c>
      <c r="D192" s="4">
        <v>82219.789999999994</v>
      </c>
      <c r="E192" s="3" t="s">
        <v>25</v>
      </c>
      <c r="F192" s="3" t="s">
        <v>166</v>
      </c>
    </row>
    <row r="193" spans="1:6" x14ac:dyDescent="0.2">
      <c r="A193" s="2">
        <v>45822</v>
      </c>
      <c r="B193" s="3" t="s">
        <v>167</v>
      </c>
      <c r="C193" s="4">
        <v>-10.01</v>
      </c>
      <c r="D193" s="4">
        <v>83301.61</v>
      </c>
      <c r="E193" s="3" t="s">
        <v>10</v>
      </c>
      <c r="F193" s="3" t="s">
        <v>13</v>
      </c>
    </row>
    <row r="194" spans="1:6" x14ac:dyDescent="0.2">
      <c r="A194" s="2">
        <v>45821</v>
      </c>
      <c r="B194" s="3" t="s">
        <v>62</v>
      </c>
      <c r="C194" s="4">
        <v>-51.94</v>
      </c>
      <c r="D194" s="4">
        <v>8311.6200000000008</v>
      </c>
      <c r="E194" s="3" t="s">
        <v>31</v>
      </c>
      <c r="F194" s="3" t="s">
        <v>56</v>
      </c>
    </row>
    <row r="195" spans="1:6" x14ac:dyDescent="0.2">
      <c r="A195" s="2">
        <v>45821</v>
      </c>
      <c r="B195" s="3" t="s">
        <v>168</v>
      </c>
      <c r="C195" s="4">
        <v>75000</v>
      </c>
      <c r="D195" s="4">
        <v>83311.62</v>
      </c>
      <c r="E195" s="3" t="s">
        <v>42</v>
      </c>
      <c r="F195" s="3" t="s">
        <v>169</v>
      </c>
    </row>
    <row r="196" spans="1:6" x14ac:dyDescent="0.2">
      <c r="A196" s="2">
        <v>45818</v>
      </c>
      <c r="B196" s="3" t="s">
        <v>170</v>
      </c>
      <c r="C196" s="4">
        <v>-2754.13</v>
      </c>
      <c r="D196" s="4">
        <v>8363.5600000000013</v>
      </c>
      <c r="E196" s="3" t="s">
        <v>10</v>
      </c>
      <c r="F196" s="3" t="s">
        <v>28</v>
      </c>
    </row>
    <row r="197" spans="1:6" x14ac:dyDescent="0.2">
      <c r="A197" s="2">
        <v>45817</v>
      </c>
      <c r="B197" s="3" t="s">
        <v>171</v>
      </c>
      <c r="C197" s="4">
        <v>-150.01</v>
      </c>
      <c r="D197" s="4">
        <v>11137.69</v>
      </c>
      <c r="E197" s="3" t="s">
        <v>10</v>
      </c>
      <c r="F197" s="3" t="s">
        <v>64</v>
      </c>
    </row>
    <row r="198" spans="1:6" x14ac:dyDescent="0.2">
      <c r="A198" s="2">
        <v>45817</v>
      </c>
      <c r="B198" s="3" t="s">
        <v>172</v>
      </c>
      <c r="C198" s="4">
        <v>-20</v>
      </c>
      <c r="D198" s="5">
        <v>11117.69</v>
      </c>
      <c r="E198" s="3" t="s">
        <v>10</v>
      </c>
      <c r="F198" s="3" t="s">
        <v>70</v>
      </c>
    </row>
    <row r="199" spans="1:6" x14ac:dyDescent="0.2">
      <c r="A199" s="2">
        <v>45816</v>
      </c>
      <c r="B199" s="3" t="s">
        <v>173</v>
      </c>
      <c r="C199" s="4">
        <v>-100</v>
      </c>
      <c r="D199" s="4">
        <v>11287.7</v>
      </c>
      <c r="E199" s="3" t="s">
        <v>10</v>
      </c>
      <c r="F199" s="3" t="s">
        <v>20</v>
      </c>
    </row>
    <row r="200" spans="1:6" x14ac:dyDescent="0.2">
      <c r="A200" s="2">
        <v>45815</v>
      </c>
      <c r="B200" s="3" t="s">
        <v>174</v>
      </c>
      <c r="C200" s="4">
        <v>-552.54999999999995</v>
      </c>
      <c r="D200" s="4">
        <v>11950.26</v>
      </c>
      <c r="E200" s="3" t="s">
        <v>31</v>
      </c>
      <c r="F200" s="3"/>
    </row>
    <row r="201" spans="1:6" x14ac:dyDescent="0.2">
      <c r="A201" s="2">
        <v>45815</v>
      </c>
      <c r="B201" s="3" t="s">
        <v>174</v>
      </c>
      <c r="C201" s="4">
        <v>-552.54999999999995</v>
      </c>
      <c r="D201" s="5">
        <v>11397.71</v>
      </c>
      <c r="E201" s="3" t="s">
        <v>31</v>
      </c>
      <c r="F201" s="3"/>
    </row>
    <row r="202" spans="1:6" x14ac:dyDescent="0.2">
      <c r="A202" s="2">
        <v>45815</v>
      </c>
      <c r="B202" s="3" t="s">
        <v>167</v>
      </c>
      <c r="C202" s="4">
        <v>-10.01</v>
      </c>
      <c r="D202" s="4">
        <v>11387.7</v>
      </c>
      <c r="E202" s="3" t="s">
        <v>10</v>
      </c>
      <c r="F202" s="3" t="s">
        <v>13</v>
      </c>
    </row>
    <row r="203" spans="1:6" x14ac:dyDescent="0.2">
      <c r="A203" s="2">
        <v>45813</v>
      </c>
      <c r="B203" s="3" t="s">
        <v>175</v>
      </c>
      <c r="C203" s="4">
        <v>-150.06</v>
      </c>
      <c r="D203" s="4">
        <v>12513.07</v>
      </c>
      <c r="E203" s="3" t="s">
        <v>10</v>
      </c>
      <c r="F203" s="3" t="s">
        <v>28</v>
      </c>
    </row>
    <row r="204" spans="1:6" x14ac:dyDescent="0.2">
      <c r="A204" s="2">
        <v>45813</v>
      </c>
      <c r="B204" s="3" t="s">
        <v>167</v>
      </c>
      <c r="C204" s="4">
        <v>-10.26</v>
      </c>
      <c r="D204" s="5">
        <v>12502.81</v>
      </c>
      <c r="E204" s="3" t="s">
        <v>10</v>
      </c>
      <c r="F204" s="3" t="s">
        <v>13</v>
      </c>
    </row>
    <row r="205" spans="1:6" x14ac:dyDescent="0.2">
      <c r="A205" s="2">
        <v>45812</v>
      </c>
      <c r="B205" s="3" t="s">
        <v>176</v>
      </c>
      <c r="C205" s="4">
        <v>-19.95</v>
      </c>
      <c r="D205" s="4">
        <v>12663.13</v>
      </c>
      <c r="E205" s="3" t="s">
        <v>10</v>
      </c>
      <c r="F205" s="3" t="s">
        <v>13</v>
      </c>
    </row>
    <row r="206" spans="1:6" x14ac:dyDescent="0.2">
      <c r="A206" s="2">
        <v>45811</v>
      </c>
      <c r="B206" s="3" t="s">
        <v>177</v>
      </c>
      <c r="C206" s="4">
        <v>-2197.4299999999998</v>
      </c>
      <c r="D206" s="4">
        <v>14057.85</v>
      </c>
      <c r="E206" s="3" t="s">
        <v>10</v>
      </c>
      <c r="F206" s="3" t="s">
        <v>28</v>
      </c>
    </row>
    <row r="207" spans="1:6" x14ac:dyDescent="0.2">
      <c r="A207" s="2">
        <v>45811</v>
      </c>
      <c r="B207" s="3" t="s">
        <v>178</v>
      </c>
      <c r="C207" s="4">
        <v>-1374.77</v>
      </c>
      <c r="D207" s="5">
        <v>12683.08</v>
      </c>
      <c r="E207" s="3" t="s">
        <v>154</v>
      </c>
      <c r="F207" s="3" t="s">
        <v>179</v>
      </c>
    </row>
    <row r="208" spans="1:6" x14ac:dyDescent="0.2">
      <c r="A208" s="2">
        <v>45810</v>
      </c>
      <c r="B208" s="3" t="s">
        <v>180</v>
      </c>
      <c r="C208" s="4">
        <v>-44.99</v>
      </c>
      <c r="D208" s="4">
        <v>17691.27</v>
      </c>
      <c r="E208" s="3" t="s">
        <v>154</v>
      </c>
      <c r="F208" s="3" t="s">
        <v>181</v>
      </c>
    </row>
    <row r="209" spans="1:6" x14ac:dyDescent="0.2">
      <c r="A209" s="2">
        <v>45810</v>
      </c>
      <c r="B209" s="3" t="s">
        <v>182</v>
      </c>
      <c r="C209" s="4">
        <v>-141.21</v>
      </c>
      <c r="D209" s="5">
        <v>17550.060000000001</v>
      </c>
      <c r="E209" s="3" t="s">
        <v>10</v>
      </c>
      <c r="F209" s="3" t="s">
        <v>20</v>
      </c>
    </row>
    <row r="210" spans="1:6" x14ac:dyDescent="0.2">
      <c r="A210" s="2">
        <v>45810</v>
      </c>
      <c r="B210" s="3" t="s">
        <v>183</v>
      </c>
      <c r="C210" s="4">
        <v>-3.55</v>
      </c>
      <c r="D210" s="5">
        <v>17546.509999999998</v>
      </c>
      <c r="E210" s="3" t="s">
        <v>10</v>
      </c>
      <c r="F210" s="3" t="s">
        <v>20</v>
      </c>
    </row>
    <row r="211" spans="1:6" x14ac:dyDescent="0.2">
      <c r="A211" s="2">
        <v>45810</v>
      </c>
      <c r="B211" s="3" t="s">
        <v>17</v>
      </c>
      <c r="C211" s="4">
        <v>-19.260000000000002</v>
      </c>
      <c r="D211" s="5">
        <v>17527.25</v>
      </c>
      <c r="E211" s="3" t="s">
        <v>10</v>
      </c>
      <c r="F211" s="3" t="s">
        <v>18</v>
      </c>
    </row>
    <row r="212" spans="1:6" x14ac:dyDescent="0.2">
      <c r="A212" s="2">
        <v>45810</v>
      </c>
      <c r="B212" s="3" t="s">
        <v>58</v>
      </c>
      <c r="C212" s="4">
        <v>-1196.98</v>
      </c>
      <c r="D212" s="5">
        <v>16330.27</v>
      </c>
      <c r="E212" s="3" t="s">
        <v>154</v>
      </c>
      <c r="F212" s="3" t="s">
        <v>179</v>
      </c>
    </row>
    <row r="213" spans="1:6" x14ac:dyDescent="0.2">
      <c r="A213" s="2">
        <v>45810</v>
      </c>
      <c r="B213" s="3" t="s">
        <v>58</v>
      </c>
      <c r="C213" s="4">
        <v>-74.989999999999995</v>
      </c>
      <c r="D213" s="5">
        <v>16255.28</v>
      </c>
      <c r="E213" s="3" t="s">
        <v>15</v>
      </c>
      <c r="F213" s="3" t="s">
        <v>181</v>
      </c>
    </row>
    <row r="214" spans="1:6" x14ac:dyDescent="0.2">
      <c r="A214" s="2">
        <v>45809</v>
      </c>
      <c r="B214" s="3" t="s">
        <v>184</v>
      </c>
      <c r="C214" s="4">
        <v>4.0999999999999996</v>
      </c>
      <c r="D214" s="4">
        <v>17736.259999999998</v>
      </c>
      <c r="E214" s="3"/>
      <c r="F214" s="3"/>
    </row>
    <row r="215" spans="1:6" x14ac:dyDescent="0.2">
      <c r="A215" s="2">
        <v>45806</v>
      </c>
      <c r="B215" s="3" t="s">
        <v>185</v>
      </c>
      <c r="C215" s="4">
        <v>-2133.5700000000002</v>
      </c>
      <c r="D215" s="4">
        <v>17866.43</v>
      </c>
      <c r="E215" s="3" t="s">
        <v>15</v>
      </c>
      <c r="F215" s="3" t="s">
        <v>28</v>
      </c>
    </row>
    <row r="216" spans="1:6" x14ac:dyDescent="0.2">
      <c r="A216" s="2">
        <v>45806</v>
      </c>
      <c r="B216" s="3" t="s">
        <v>186</v>
      </c>
      <c r="C216" s="4">
        <v>-134.27000000000001</v>
      </c>
      <c r="D216" s="5">
        <v>17732.16</v>
      </c>
      <c r="E216" s="3" t="s">
        <v>15</v>
      </c>
      <c r="F216" s="3" t="s">
        <v>28</v>
      </c>
    </row>
    <row r="217" spans="1:6" x14ac:dyDescent="0.2">
      <c r="A217" s="2">
        <v>45805</v>
      </c>
      <c r="B217" s="3" t="s">
        <v>187</v>
      </c>
      <c r="C217" s="4">
        <v>20000</v>
      </c>
      <c r="D217" s="4">
        <v>20000</v>
      </c>
      <c r="E217" s="3" t="s">
        <v>15</v>
      </c>
      <c r="F217" s="3" t="s">
        <v>188</v>
      </c>
    </row>
    <row r="218" spans="1:6" x14ac:dyDescent="0.2">
      <c r="A218" s="2">
        <v>45797</v>
      </c>
      <c r="B218" s="3" t="s">
        <v>189</v>
      </c>
      <c r="C218" s="4">
        <v>-0.67</v>
      </c>
      <c r="D218" s="4">
        <v>-0.67</v>
      </c>
      <c r="E218" s="3" t="s">
        <v>25</v>
      </c>
      <c r="F218" s="3" t="s">
        <v>190</v>
      </c>
    </row>
    <row r="219" spans="1:6" x14ac:dyDescent="0.2">
      <c r="A219" s="2">
        <v>45797</v>
      </c>
      <c r="B219" s="3" t="s">
        <v>189</v>
      </c>
      <c r="C219" s="4">
        <v>0.67</v>
      </c>
      <c r="D219" s="5">
        <v>0</v>
      </c>
      <c r="E219" s="3" t="s">
        <v>25</v>
      </c>
      <c r="F219" s="3" t="s">
        <v>191</v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4"/>
  <sheetViews>
    <sheetView zoomScale="144" workbookViewId="0">
      <pane ySplit="4" topLeftCell="A104" activePane="bottomLeft" state="frozen"/>
      <selection pane="bottomLeft" activeCell="A2" sqref="A2:D2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5" customWidth="1"/>
    <col min="4" max="4" width="40" customWidth="1"/>
  </cols>
  <sheetData>
    <row r="1" spans="1:4" ht="19" customHeight="1" x14ac:dyDescent="0.25">
      <c r="A1" s="44" t="s">
        <v>192</v>
      </c>
      <c r="B1" s="42"/>
      <c r="C1" s="42"/>
      <c r="D1" s="42"/>
    </row>
    <row r="2" spans="1:4" x14ac:dyDescent="0.2">
      <c r="A2" s="41" t="s">
        <v>193</v>
      </c>
      <c r="B2" s="42"/>
      <c r="C2" s="42"/>
      <c r="D2" s="42"/>
    </row>
    <row r="4" spans="1:4" x14ac:dyDescent="0.2">
      <c r="A4" s="29" t="s">
        <v>3</v>
      </c>
      <c r="B4" s="29" t="s">
        <v>4</v>
      </c>
      <c r="C4" s="29" t="s">
        <v>5</v>
      </c>
      <c r="D4" s="29" t="s">
        <v>8</v>
      </c>
    </row>
    <row r="5" spans="1:4" x14ac:dyDescent="0.2">
      <c r="A5" s="45" t="s">
        <v>194</v>
      </c>
      <c r="B5" s="42"/>
      <c r="C5" s="42"/>
      <c r="D5" s="42"/>
    </row>
    <row r="6" spans="1:4" x14ac:dyDescent="0.2">
      <c r="A6" s="30">
        <v>45934</v>
      </c>
      <c r="B6" s="31" t="s">
        <v>12</v>
      </c>
      <c r="C6" s="32">
        <v>-24.95</v>
      </c>
      <c r="D6" s="31" t="s">
        <v>195</v>
      </c>
    </row>
    <row r="7" spans="1:4" x14ac:dyDescent="0.2">
      <c r="A7" s="30">
        <v>45932</v>
      </c>
      <c r="B7" s="31" t="s">
        <v>19</v>
      </c>
      <c r="C7" s="32">
        <v>-867.92</v>
      </c>
      <c r="D7" s="31" t="s">
        <v>196</v>
      </c>
    </row>
    <row r="8" spans="1:4" x14ac:dyDescent="0.2">
      <c r="A8" s="30">
        <v>45932</v>
      </c>
      <c r="B8" s="31" t="s">
        <v>17</v>
      </c>
      <c r="C8" s="32">
        <v>-22.47</v>
      </c>
      <c r="D8" s="31" t="s">
        <v>197</v>
      </c>
    </row>
    <row r="9" spans="1:4" x14ac:dyDescent="0.2">
      <c r="A9" s="30">
        <v>45929</v>
      </c>
      <c r="B9" s="31" t="s">
        <v>9</v>
      </c>
      <c r="C9" s="32">
        <v>-10.01</v>
      </c>
      <c r="D9" s="31" t="s">
        <v>195</v>
      </c>
    </row>
    <row r="10" spans="1:4" x14ac:dyDescent="0.2">
      <c r="A10" s="30">
        <v>45927</v>
      </c>
      <c r="B10" s="31" t="s">
        <v>9</v>
      </c>
      <c r="C10" s="32">
        <v>-10.01</v>
      </c>
      <c r="D10" s="31" t="s">
        <v>195</v>
      </c>
    </row>
    <row r="11" spans="1:4" x14ac:dyDescent="0.2">
      <c r="A11" s="30">
        <v>45925</v>
      </c>
      <c r="B11" s="31" t="s">
        <v>32</v>
      </c>
      <c r="C11" s="32">
        <v>-41.73</v>
      </c>
      <c r="D11" s="31" t="s">
        <v>198</v>
      </c>
    </row>
    <row r="12" spans="1:4" x14ac:dyDescent="0.2">
      <c r="A12" s="30">
        <v>45925</v>
      </c>
      <c r="B12" s="31" t="s">
        <v>9</v>
      </c>
      <c r="C12" s="32">
        <v>-10.01</v>
      </c>
      <c r="D12" s="31" t="s">
        <v>195</v>
      </c>
    </row>
    <row r="13" spans="1:4" x14ac:dyDescent="0.2">
      <c r="A13" s="30">
        <v>45925</v>
      </c>
      <c r="B13" s="31" t="s">
        <v>34</v>
      </c>
      <c r="C13" s="32">
        <v>-40</v>
      </c>
      <c r="D13" s="31" t="s">
        <v>199</v>
      </c>
    </row>
    <row r="14" spans="1:4" x14ac:dyDescent="0.2">
      <c r="A14" s="30">
        <v>45922</v>
      </c>
      <c r="B14" s="31" t="s">
        <v>9</v>
      </c>
      <c r="C14" s="32">
        <v>-10.79</v>
      </c>
      <c r="D14" s="31" t="s">
        <v>195</v>
      </c>
    </row>
    <row r="15" spans="1:4" x14ac:dyDescent="0.2">
      <c r="A15" s="30">
        <v>45921</v>
      </c>
      <c r="B15" s="31" t="s">
        <v>9</v>
      </c>
      <c r="C15" s="32">
        <v>-10.029999999999999</v>
      </c>
      <c r="D15" s="31" t="s">
        <v>195</v>
      </c>
    </row>
    <row r="16" spans="1:4" x14ac:dyDescent="0.2">
      <c r="A16" s="30">
        <v>45919</v>
      </c>
      <c r="B16" s="31" t="s">
        <v>9</v>
      </c>
      <c r="C16" s="32">
        <v>-10.09</v>
      </c>
      <c r="D16" s="31" t="s">
        <v>195</v>
      </c>
    </row>
    <row r="17" spans="1:4" x14ac:dyDescent="0.2">
      <c r="A17" s="30">
        <v>45917</v>
      </c>
      <c r="B17" s="31" t="s">
        <v>9</v>
      </c>
      <c r="C17" s="32">
        <v>-10</v>
      </c>
      <c r="D17" s="31" t="s">
        <v>195</v>
      </c>
    </row>
    <row r="18" spans="1:4" x14ac:dyDescent="0.2">
      <c r="A18" s="30">
        <v>45915</v>
      </c>
      <c r="B18" s="31" t="s">
        <v>9</v>
      </c>
      <c r="C18" s="32">
        <v>-10.02</v>
      </c>
      <c r="D18" s="31" t="s">
        <v>195</v>
      </c>
    </row>
    <row r="19" spans="1:4" x14ac:dyDescent="0.2">
      <c r="A19" s="30">
        <v>45913</v>
      </c>
      <c r="B19" s="31" t="s">
        <v>9</v>
      </c>
      <c r="C19" s="32">
        <v>-10.119999999999999</v>
      </c>
      <c r="D19" s="31" t="s">
        <v>195</v>
      </c>
    </row>
    <row r="20" spans="1:4" x14ac:dyDescent="0.2">
      <c r="A20" s="30">
        <v>45912</v>
      </c>
      <c r="B20" s="31" t="s">
        <v>9</v>
      </c>
      <c r="C20" s="32">
        <v>-10.01</v>
      </c>
      <c r="D20" s="31" t="s">
        <v>195</v>
      </c>
    </row>
    <row r="21" spans="1:4" x14ac:dyDescent="0.2">
      <c r="A21" s="30">
        <v>45910</v>
      </c>
      <c r="B21" s="31" t="s">
        <v>63</v>
      </c>
      <c r="C21" s="32">
        <v>-150.03</v>
      </c>
      <c r="D21" s="31" t="s">
        <v>200</v>
      </c>
    </row>
    <row r="22" spans="1:4" x14ac:dyDescent="0.2">
      <c r="A22" s="30">
        <v>45910</v>
      </c>
      <c r="B22" s="31" t="s">
        <v>65</v>
      </c>
      <c r="C22" s="32">
        <v>-400.23</v>
      </c>
      <c r="D22" s="31" t="s">
        <v>201</v>
      </c>
    </row>
    <row r="23" spans="1:4" x14ac:dyDescent="0.2">
      <c r="A23" s="30">
        <v>45909</v>
      </c>
      <c r="B23" s="31" t="s">
        <v>71</v>
      </c>
      <c r="C23" s="32">
        <v>-17</v>
      </c>
      <c r="D23" s="31" t="s">
        <v>202</v>
      </c>
    </row>
    <row r="24" spans="1:4" x14ac:dyDescent="0.2">
      <c r="A24" s="30">
        <v>45909</v>
      </c>
      <c r="B24" s="31" t="s">
        <v>9</v>
      </c>
      <c r="C24" s="32">
        <v>-10.039999999999999</v>
      </c>
      <c r="D24" s="31" t="s">
        <v>195</v>
      </c>
    </row>
    <row r="25" spans="1:4" x14ac:dyDescent="0.2">
      <c r="A25" s="30">
        <v>45906</v>
      </c>
      <c r="B25" s="31" t="s">
        <v>9</v>
      </c>
      <c r="C25" s="32">
        <v>-11.56</v>
      </c>
      <c r="D25" s="31" t="s">
        <v>195</v>
      </c>
    </row>
    <row r="26" spans="1:4" x14ac:dyDescent="0.2">
      <c r="A26" s="30">
        <v>45904</v>
      </c>
      <c r="B26" s="31" t="s">
        <v>12</v>
      </c>
      <c r="C26" s="32">
        <v>-59.98</v>
      </c>
      <c r="D26" s="31" t="s">
        <v>195</v>
      </c>
    </row>
    <row r="27" spans="1:4" x14ac:dyDescent="0.2">
      <c r="A27" s="30">
        <v>45902</v>
      </c>
      <c r="B27" s="31" t="s">
        <v>78</v>
      </c>
      <c r="C27" s="32">
        <v>-180.58</v>
      </c>
      <c r="D27" s="31" t="s">
        <v>196</v>
      </c>
    </row>
    <row r="28" spans="1:4" x14ac:dyDescent="0.2">
      <c r="A28" s="30">
        <v>45902</v>
      </c>
      <c r="B28" s="31" t="s">
        <v>17</v>
      </c>
      <c r="C28" s="32">
        <v>-19.260000000000002</v>
      </c>
      <c r="D28" s="31" t="s">
        <v>197</v>
      </c>
    </row>
    <row r="29" spans="1:4" x14ac:dyDescent="0.2">
      <c r="A29" s="30">
        <v>45902</v>
      </c>
      <c r="B29" s="31" t="s">
        <v>9</v>
      </c>
      <c r="C29" s="32">
        <v>-10.34</v>
      </c>
      <c r="D29" s="31" t="s">
        <v>195</v>
      </c>
    </row>
    <row r="30" spans="1:4" x14ac:dyDescent="0.2">
      <c r="A30" s="30">
        <v>45897</v>
      </c>
      <c r="B30" s="31" t="s">
        <v>86</v>
      </c>
      <c r="C30" s="32">
        <v>-1000</v>
      </c>
      <c r="D30" s="31" t="s">
        <v>196</v>
      </c>
    </row>
    <row r="31" spans="1:4" x14ac:dyDescent="0.2">
      <c r="A31" s="30">
        <v>45894</v>
      </c>
      <c r="B31" s="31" t="s">
        <v>32</v>
      </c>
      <c r="C31" s="32">
        <v>-41.29</v>
      </c>
      <c r="D31" s="31" t="s">
        <v>198</v>
      </c>
    </row>
    <row r="32" spans="1:4" x14ac:dyDescent="0.2">
      <c r="A32" s="30">
        <v>45894</v>
      </c>
      <c r="B32" s="31" t="s">
        <v>9</v>
      </c>
      <c r="C32" s="32">
        <v>-10.01</v>
      </c>
      <c r="D32" s="31" t="s">
        <v>195</v>
      </c>
    </row>
    <row r="33" spans="1:4" x14ac:dyDescent="0.2">
      <c r="A33" s="30">
        <v>45894</v>
      </c>
      <c r="B33" s="31" t="s">
        <v>34</v>
      </c>
      <c r="C33" s="32">
        <v>-40</v>
      </c>
      <c r="D33" s="31" t="s">
        <v>199</v>
      </c>
    </row>
    <row r="34" spans="1:4" x14ac:dyDescent="0.2">
      <c r="A34" s="30">
        <v>45891</v>
      </c>
      <c r="B34" s="31" t="s">
        <v>9</v>
      </c>
      <c r="C34" s="32">
        <v>-10.02</v>
      </c>
      <c r="D34" s="31" t="s">
        <v>195</v>
      </c>
    </row>
    <row r="35" spans="1:4" x14ac:dyDescent="0.2">
      <c r="A35" s="30">
        <v>45890</v>
      </c>
      <c r="B35" s="31" t="s">
        <v>9</v>
      </c>
      <c r="C35" s="32">
        <v>-10.01</v>
      </c>
      <c r="D35" s="31" t="s">
        <v>195</v>
      </c>
    </row>
    <row r="36" spans="1:4" x14ac:dyDescent="0.2">
      <c r="A36" s="30">
        <v>45881</v>
      </c>
      <c r="B36" s="31" t="s">
        <v>63</v>
      </c>
      <c r="C36" s="32">
        <v>-150.07</v>
      </c>
      <c r="D36" s="31" t="s">
        <v>200</v>
      </c>
    </row>
    <row r="37" spans="1:4" x14ac:dyDescent="0.2">
      <c r="A37" s="30">
        <v>45879</v>
      </c>
      <c r="B37" s="31" t="s">
        <v>9</v>
      </c>
      <c r="C37" s="32">
        <v>-10.36</v>
      </c>
      <c r="D37" s="31" t="s">
        <v>195</v>
      </c>
    </row>
    <row r="38" spans="1:4" x14ac:dyDescent="0.2">
      <c r="A38" s="30">
        <v>45877</v>
      </c>
      <c r="B38" s="31" t="s">
        <v>101</v>
      </c>
      <c r="C38" s="32">
        <v>-17</v>
      </c>
      <c r="D38" s="31" t="s">
        <v>202</v>
      </c>
    </row>
    <row r="39" spans="1:4" x14ac:dyDescent="0.2">
      <c r="A39" s="30">
        <v>45875</v>
      </c>
      <c r="B39" s="31" t="s">
        <v>12</v>
      </c>
      <c r="C39" s="32">
        <v>-24.95</v>
      </c>
      <c r="D39" s="31" t="s">
        <v>195</v>
      </c>
    </row>
    <row r="40" spans="1:4" x14ac:dyDescent="0.2">
      <c r="A40" s="30">
        <v>45871</v>
      </c>
      <c r="B40" s="31" t="s">
        <v>104</v>
      </c>
      <c r="C40" s="32">
        <v>-407.98</v>
      </c>
      <c r="D40" s="31" t="s">
        <v>196</v>
      </c>
    </row>
    <row r="41" spans="1:4" x14ac:dyDescent="0.2">
      <c r="A41" s="30">
        <v>45871</v>
      </c>
      <c r="B41" s="31" t="s">
        <v>17</v>
      </c>
      <c r="C41" s="32">
        <v>-19.260000000000002</v>
      </c>
      <c r="D41" s="31" t="s">
        <v>197</v>
      </c>
    </row>
    <row r="42" spans="1:4" x14ac:dyDescent="0.2">
      <c r="A42" s="30">
        <v>45865</v>
      </c>
      <c r="B42" s="31" t="s">
        <v>9</v>
      </c>
      <c r="C42" s="32">
        <v>-10</v>
      </c>
      <c r="D42" s="31" t="s">
        <v>195</v>
      </c>
    </row>
    <row r="43" spans="1:4" x14ac:dyDescent="0.2">
      <c r="A43" s="30">
        <v>45863</v>
      </c>
      <c r="B43" s="31" t="s">
        <v>32</v>
      </c>
      <c r="C43" s="32">
        <v>-35.770000000000003</v>
      </c>
      <c r="D43" s="31" t="s">
        <v>198</v>
      </c>
    </row>
    <row r="44" spans="1:4" x14ac:dyDescent="0.2">
      <c r="A44" s="30">
        <v>45860</v>
      </c>
      <c r="B44" s="31" t="s">
        <v>9</v>
      </c>
      <c r="C44" s="32">
        <v>-10.34</v>
      </c>
      <c r="D44" s="31" t="s">
        <v>195</v>
      </c>
    </row>
    <row r="45" spans="1:4" x14ac:dyDescent="0.2">
      <c r="A45" s="30">
        <v>45859</v>
      </c>
      <c r="B45" s="31" t="s">
        <v>63</v>
      </c>
      <c r="C45" s="32">
        <v>-150.13999999999999</v>
      </c>
      <c r="D45" s="31" t="s">
        <v>200</v>
      </c>
    </row>
    <row r="46" spans="1:4" x14ac:dyDescent="0.2">
      <c r="A46" s="30">
        <v>45858</v>
      </c>
      <c r="B46" s="31" t="s">
        <v>65</v>
      </c>
      <c r="C46" s="32">
        <v>-53.5</v>
      </c>
      <c r="D46" s="31" t="s">
        <v>201</v>
      </c>
    </row>
    <row r="47" spans="1:4" x14ac:dyDescent="0.2">
      <c r="A47" s="30">
        <v>45858</v>
      </c>
      <c r="B47" s="31" t="s">
        <v>118</v>
      </c>
      <c r="C47" s="32">
        <v>-500</v>
      </c>
      <c r="D47" s="31" t="s">
        <v>196</v>
      </c>
    </row>
    <row r="48" spans="1:4" x14ac:dyDescent="0.2">
      <c r="A48" s="30">
        <v>45854</v>
      </c>
      <c r="B48" s="31" t="s">
        <v>9</v>
      </c>
      <c r="C48" s="32">
        <v>-10.89</v>
      </c>
      <c r="D48" s="31" t="s">
        <v>195</v>
      </c>
    </row>
    <row r="49" spans="1:4" x14ac:dyDescent="0.2">
      <c r="A49" s="30">
        <v>45848</v>
      </c>
      <c r="B49" s="31" t="s">
        <v>139</v>
      </c>
      <c r="C49" s="32">
        <v>-16.170000000000002</v>
      </c>
      <c r="D49" s="31" t="s">
        <v>202</v>
      </c>
    </row>
    <row r="50" spans="1:4" x14ac:dyDescent="0.2">
      <c r="A50" s="30">
        <v>45847</v>
      </c>
      <c r="B50" s="31" t="s">
        <v>9</v>
      </c>
      <c r="C50" s="32">
        <v>-11.3</v>
      </c>
      <c r="D50" s="31" t="s">
        <v>195</v>
      </c>
    </row>
    <row r="51" spans="1:4" x14ac:dyDescent="0.2">
      <c r="A51" s="30">
        <v>45842</v>
      </c>
      <c r="B51" s="31" t="s">
        <v>9</v>
      </c>
      <c r="C51" s="32">
        <v>-10.23</v>
      </c>
      <c r="D51" s="31" t="s">
        <v>195</v>
      </c>
    </row>
    <row r="52" spans="1:4" x14ac:dyDescent="0.2">
      <c r="A52" s="30">
        <v>45842</v>
      </c>
      <c r="B52" s="31" t="s">
        <v>12</v>
      </c>
      <c r="C52" s="32">
        <v>-24.95</v>
      </c>
      <c r="D52" s="31" t="s">
        <v>195</v>
      </c>
    </row>
    <row r="53" spans="1:4" x14ac:dyDescent="0.2">
      <c r="A53" s="30">
        <v>45840</v>
      </c>
      <c r="B53" s="31" t="s">
        <v>145</v>
      </c>
      <c r="C53" s="32">
        <v>-48.94</v>
      </c>
      <c r="D53" s="31" t="s">
        <v>196</v>
      </c>
    </row>
    <row r="54" spans="1:4" x14ac:dyDescent="0.2">
      <c r="A54" s="30">
        <v>45840</v>
      </c>
      <c r="B54" s="31" t="s">
        <v>146</v>
      </c>
      <c r="C54" s="32">
        <v>-415.66</v>
      </c>
      <c r="D54" s="31" t="s">
        <v>196</v>
      </c>
    </row>
    <row r="55" spans="1:4" x14ac:dyDescent="0.2">
      <c r="A55" s="30">
        <v>45840</v>
      </c>
      <c r="B55" s="31" t="s">
        <v>17</v>
      </c>
      <c r="C55" s="32">
        <v>-19.260000000000002</v>
      </c>
      <c r="D55" s="31" t="s">
        <v>197</v>
      </c>
    </row>
    <row r="56" spans="1:4" x14ac:dyDescent="0.2">
      <c r="A56" s="30">
        <v>45836</v>
      </c>
      <c r="B56" s="31" t="s">
        <v>9</v>
      </c>
      <c r="C56" s="32">
        <v>-10</v>
      </c>
      <c r="D56" s="31" t="s">
        <v>195</v>
      </c>
    </row>
    <row r="57" spans="1:4" x14ac:dyDescent="0.2">
      <c r="A57" s="30">
        <v>45833</v>
      </c>
      <c r="B57" s="31" t="s">
        <v>63</v>
      </c>
      <c r="C57" s="32">
        <v>-106</v>
      </c>
      <c r="D57" s="31" t="s">
        <v>200</v>
      </c>
    </row>
    <row r="58" spans="1:4" x14ac:dyDescent="0.2">
      <c r="A58" s="30">
        <v>45833</v>
      </c>
      <c r="B58" s="31" t="s">
        <v>32</v>
      </c>
      <c r="C58" s="32">
        <v>-35.42</v>
      </c>
      <c r="D58" s="31" t="s">
        <v>198</v>
      </c>
    </row>
    <row r="59" spans="1:4" x14ac:dyDescent="0.2">
      <c r="A59" s="30">
        <v>45830</v>
      </c>
      <c r="B59" s="31" t="s">
        <v>9</v>
      </c>
      <c r="C59" s="32">
        <v>-11.46</v>
      </c>
      <c r="D59" s="31" t="s">
        <v>195</v>
      </c>
    </row>
    <row r="60" spans="1:4" x14ac:dyDescent="0.2">
      <c r="A60" s="30">
        <v>45825</v>
      </c>
      <c r="B60" s="31" t="s">
        <v>163</v>
      </c>
      <c r="C60" s="32">
        <v>-200</v>
      </c>
      <c r="D60" s="31" t="s">
        <v>196</v>
      </c>
    </row>
    <row r="61" spans="1:4" x14ac:dyDescent="0.2">
      <c r="A61" s="30">
        <v>45822</v>
      </c>
      <c r="B61" s="31" t="s">
        <v>167</v>
      </c>
      <c r="C61" s="32">
        <v>-10.01</v>
      </c>
      <c r="D61" s="31" t="s">
        <v>195</v>
      </c>
    </row>
    <row r="62" spans="1:4" x14ac:dyDescent="0.2">
      <c r="A62" s="30">
        <v>45817</v>
      </c>
      <c r="B62" s="31" t="s">
        <v>171</v>
      </c>
      <c r="C62" s="32">
        <v>-150.01</v>
      </c>
      <c r="D62" s="31" t="s">
        <v>200</v>
      </c>
    </row>
    <row r="63" spans="1:4" x14ac:dyDescent="0.2">
      <c r="A63" s="30">
        <v>45816</v>
      </c>
      <c r="B63" s="31" t="s">
        <v>173</v>
      </c>
      <c r="C63" s="32">
        <v>-100</v>
      </c>
      <c r="D63" s="31" t="s">
        <v>196</v>
      </c>
    </row>
    <row r="64" spans="1:4" x14ac:dyDescent="0.2">
      <c r="A64" s="30">
        <v>45815</v>
      </c>
      <c r="B64" s="31" t="s">
        <v>167</v>
      </c>
      <c r="C64" s="32">
        <v>-10.01</v>
      </c>
      <c r="D64" s="31" t="s">
        <v>195</v>
      </c>
    </row>
    <row r="65" spans="1:4" x14ac:dyDescent="0.2">
      <c r="A65" s="30">
        <v>45813</v>
      </c>
      <c r="B65" s="31" t="s">
        <v>167</v>
      </c>
      <c r="C65" s="32">
        <v>-10.26</v>
      </c>
      <c r="D65" s="31" t="s">
        <v>195</v>
      </c>
    </row>
    <row r="66" spans="1:4" x14ac:dyDescent="0.2">
      <c r="A66" s="30">
        <v>45812</v>
      </c>
      <c r="B66" s="31" t="s">
        <v>176</v>
      </c>
      <c r="C66" s="32">
        <v>-19.95</v>
      </c>
      <c r="D66" s="31" t="s">
        <v>195</v>
      </c>
    </row>
    <row r="67" spans="1:4" x14ac:dyDescent="0.2">
      <c r="A67" s="30">
        <v>45810</v>
      </c>
      <c r="B67" s="31" t="s">
        <v>182</v>
      </c>
      <c r="C67" s="32">
        <v>-141.21</v>
      </c>
      <c r="D67" s="31" t="s">
        <v>196</v>
      </c>
    </row>
    <row r="68" spans="1:4" x14ac:dyDescent="0.2">
      <c r="A68" s="30">
        <v>45810</v>
      </c>
      <c r="B68" s="31" t="s">
        <v>183</v>
      </c>
      <c r="C68" s="32">
        <v>-3.55</v>
      </c>
      <c r="D68" s="31" t="s">
        <v>196</v>
      </c>
    </row>
    <row r="69" spans="1:4" x14ac:dyDescent="0.2">
      <c r="A69" s="30">
        <v>45810</v>
      </c>
      <c r="B69" s="31" t="s">
        <v>17</v>
      </c>
      <c r="C69" s="32">
        <v>-19.260000000000002</v>
      </c>
      <c r="D69" s="31" t="s">
        <v>197</v>
      </c>
    </row>
    <row r="71" spans="1:4" x14ac:dyDescent="0.2">
      <c r="B71" s="36" t="s">
        <v>203</v>
      </c>
    </row>
    <row r="72" spans="1:4" x14ac:dyDescent="0.2">
      <c r="B72" s="37" t="s">
        <v>204</v>
      </c>
      <c r="C72" s="38">
        <v>-1159.98</v>
      </c>
    </row>
    <row r="73" spans="1:4" x14ac:dyDescent="0.2">
      <c r="B73" s="37" t="s">
        <v>202</v>
      </c>
      <c r="C73" s="38">
        <v>-3916.01</v>
      </c>
    </row>
    <row r="74" spans="1:4" x14ac:dyDescent="0.2">
      <c r="B74" s="37" t="s">
        <v>205</v>
      </c>
      <c r="C74" s="38">
        <v>-766.43000000000006</v>
      </c>
    </row>
    <row r="76" spans="1:4" x14ac:dyDescent="0.2">
      <c r="B76" s="26" t="s">
        <v>206</v>
      </c>
      <c r="C76" s="39">
        <f>C72+C73+C74</f>
        <v>-5842.42</v>
      </c>
    </row>
    <row r="78" spans="1:4" x14ac:dyDescent="0.2">
      <c r="A78" s="45" t="s">
        <v>207</v>
      </c>
      <c r="B78" s="42"/>
      <c r="C78" s="42"/>
      <c r="D78" s="42"/>
    </row>
    <row r="79" spans="1:4" x14ac:dyDescent="0.2">
      <c r="A79" s="30">
        <v>45930</v>
      </c>
      <c r="B79" s="31" t="s">
        <v>27</v>
      </c>
      <c r="C79" s="32">
        <v>-1948.93</v>
      </c>
      <c r="D79" s="31" t="s">
        <v>208</v>
      </c>
    </row>
    <row r="80" spans="1:4" x14ac:dyDescent="0.2">
      <c r="A80" s="30">
        <v>45930</v>
      </c>
      <c r="B80" s="31" t="s">
        <v>29</v>
      </c>
      <c r="C80" s="32">
        <v>-315.89999999999998</v>
      </c>
      <c r="D80" s="31" t="s">
        <v>208</v>
      </c>
    </row>
    <row r="81" spans="1:4" x14ac:dyDescent="0.2">
      <c r="A81" s="30">
        <v>45923</v>
      </c>
      <c r="B81" s="31" t="s">
        <v>44</v>
      </c>
      <c r="C81" s="32">
        <v>-2621.11</v>
      </c>
      <c r="D81" s="31" t="s">
        <v>208</v>
      </c>
    </row>
    <row r="82" spans="1:4" x14ac:dyDescent="0.2">
      <c r="A82" s="30">
        <v>45921</v>
      </c>
      <c r="B82" s="31" t="s">
        <v>47</v>
      </c>
      <c r="C82" s="32">
        <v>-25</v>
      </c>
      <c r="D82" s="31" t="s">
        <v>209</v>
      </c>
    </row>
    <row r="83" spans="1:4" x14ac:dyDescent="0.2">
      <c r="A83" s="30">
        <v>45921</v>
      </c>
      <c r="B83" s="31" t="s">
        <v>48</v>
      </c>
      <c r="C83" s="32">
        <v>-21.4</v>
      </c>
      <c r="D83" s="31" t="s">
        <v>210</v>
      </c>
    </row>
    <row r="84" spans="1:4" x14ac:dyDescent="0.2">
      <c r="A84" s="30">
        <v>45920</v>
      </c>
      <c r="B84" s="31" t="s">
        <v>49</v>
      </c>
      <c r="C84" s="32">
        <v>-2</v>
      </c>
      <c r="D84" s="31" t="s">
        <v>211</v>
      </c>
    </row>
    <row r="85" spans="1:4" x14ac:dyDescent="0.2">
      <c r="A85" s="30">
        <v>45920</v>
      </c>
      <c r="B85" s="31" t="s">
        <v>49</v>
      </c>
      <c r="C85" s="32">
        <v>-68.5</v>
      </c>
      <c r="D85" s="31" t="s">
        <v>211</v>
      </c>
    </row>
    <row r="86" spans="1:4" x14ac:dyDescent="0.2">
      <c r="A86" s="30">
        <v>45915</v>
      </c>
      <c r="B86" s="31" t="s">
        <v>57</v>
      </c>
      <c r="C86" s="32">
        <v>-107.6</v>
      </c>
      <c r="D86" s="31" t="s">
        <v>212</v>
      </c>
    </row>
    <row r="87" spans="1:4" x14ac:dyDescent="0.2">
      <c r="A87" s="30">
        <v>45910</v>
      </c>
      <c r="B87" s="31" t="s">
        <v>67</v>
      </c>
      <c r="C87" s="32">
        <v>-10.7</v>
      </c>
      <c r="D87" s="31" t="s">
        <v>210</v>
      </c>
    </row>
    <row r="88" spans="1:4" x14ac:dyDescent="0.2">
      <c r="A88" s="30">
        <v>45909</v>
      </c>
      <c r="B88" s="31" t="s">
        <v>69</v>
      </c>
      <c r="C88" s="32">
        <v>-20</v>
      </c>
      <c r="D88" s="31" t="s">
        <v>213</v>
      </c>
    </row>
    <row r="89" spans="1:4" x14ac:dyDescent="0.2">
      <c r="A89" s="30">
        <v>45907</v>
      </c>
      <c r="B89" s="31" t="s">
        <v>69</v>
      </c>
      <c r="C89" s="32">
        <v>-21.2</v>
      </c>
      <c r="D89" s="31" t="s">
        <v>213</v>
      </c>
    </row>
    <row r="90" spans="1:4" x14ac:dyDescent="0.2">
      <c r="A90" s="30">
        <v>45905</v>
      </c>
      <c r="B90" s="31" t="s">
        <v>73</v>
      </c>
      <c r="C90" s="32">
        <v>-340.12</v>
      </c>
      <c r="D90" s="31" t="s">
        <v>208</v>
      </c>
    </row>
    <row r="91" spans="1:4" x14ac:dyDescent="0.2">
      <c r="A91" s="30">
        <v>45902</v>
      </c>
      <c r="B91" s="31" t="s">
        <v>76</v>
      </c>
      <c r="C91" s="32">
        <v>-1942.79</v>
      </c>
      <c r="D91" s="31" t="s">
        <v>208</v>
      </c>
    </row>
    <row r="92" spans="1:4" x14ac:dyDescent="0.2">
      <c r="A92" s="30">
        <v>45890</v>
      </c>
      <c r="B92" s="31" t="s">
        <v>48</v>
      </c>
      <c r="C92" s="32">
        <v>-21.4</v>
      </c>
      <c r="D92" s="31" t="s">
        <v>210</v>
      </c>
    </row>
    <row r="93" spans="1:4" x14ac:dyDescent="0.2">
      <c r="A93" s="30">
        <v>45888</v>
      </c>
      <c r="B93" s="31" t="s">
        <v>92</v>
      </c>
      <c r="C93" s="32">
        <v>-2309.23</v>
      </c>
      <c r="D93" s="31" t="s">
        <v>208</v>
      </c>
    </row>
    <row r="94" spans="1:4" x14ac:dyDescent="0.2">
      <c r="A94" s="30">
        <v>45883</v>
      </c>
      <c r="B94" s="31" t="s">
        <v>95</v>
      </c>
      <c r="C94" s="32">
        <v>-249.32</v>
      </c>
      <c r="D94" s="31" t="s">
        <v>214</v>
      </c>
    </row>
    <row r="95" spans="1:4" x14ac:dyDescent="0.2">
      <c r="A95" s="30">
        <v>45879</v>
      </c>
      <c r="B95" s="31" t="s">
        <v>100</v>
      </c>
      <c r="C95" s="32">
        <v>-10.7</v>
      </c>
      <c r="D95" s="31" t="s">
        <v>210</v>
      </c>
    </row>
    <row r="96" spans="1:4" x14ac:dyDescent="0.2">
      <c r="A96" s="30">
        <v>45878</v>
      </c>
      <c r="B96" s="31" t="s">
        <v>69</v>
      </c>
      <c r="C96" s="32">
        <v>-20</v>
      </c>
      <c r="D96" s="31" t="s">
        <v>213</v>
      </c>
    </row>
    <row r="97" spans="1:4" x14ac:dyDescent="0.2">
      <c r="A97" s="30">
        <v>45876</v>
      </c>
      <c r="B97" s="31" t="s">
        <v>69</v>
      </c>
      <c r="C97" s="32">
        <v>-21.2</v>
      </c>
      <c r="D97" s="31" t="s">
        <v>213</v>
      </c>
    </row>
    <row r="98" spans="1:4" x14ac:dyDescent="0.2">
      <c r="A98" s="30">
        <v>45874</v>
      </c>
      <c r="B98" s="31" t="s">
        <v>102</v>
      </c>
      <c r="C98" s="32">
        <v>-2133.04</v>
      </c>
      <c r="D98" s="31" t="s">
        <v>208</v>
      </c>
    </row>
    <row r="99" spans="1:4" x14ac:dyDescent="0.2">
      <c r="A99" s="30">
        <v>45859</v>
      </c>
      <c r="B99" s="31" t="s">
        <v>48</v>
      </c>
      <c r="C99" s="32">
        <v>-21.4</v>
      </c>
      <c r="D99" s="31" t="s">
        <v>210</v>
      </c>
    </row>
    <row r="100" spans="1:4" x14ac:dyDescent="0.2">
      <c r="A100" s="30">
        <v>45858</v>
      </c>
      <c r="B100" s="31" t="s">
        <v>49</v>
      </c>
      <c r="C100" s="32">
        <v>-87.5</v>
      </c>
      <c r="D100" s="31" t="s">
        <v>211</v>
      </c>
    </row>
    <row r="101" spans="1:4" x14ac:dyDescent="0.2">
      <c r="A101" s="30">
        <v>45858</v>
      </c>
      <c r="B101" s="31" t="s">
        <v>49</v>
      </c>
      <c r="C101" s="32">
        <v>-2</v>
      </c>
      <c r="D101" s="31" t="s">
        <v>211</v>
      </c>
    </row>
    <row r="102" spans="1:4" x14ac:dyDescent="0.2">
      <c r="A102" s="30">
        <v>45856</v>
      </c>
      <c r="B102" s="31" t="s">
        <v>119</v>
      </c>
      <c r="C102" s="32">
        <v>-658.67</v>
      </c>
      <c r="D102" s="31" t="s">
        <v>208</v>
      </c>
    </row>
    <row r="103" spans="1:4" x14ac:dyDescent="0.2">
      <c r="A103" s="30">
        <v>45855</v>
      </c>
      <c r="B103" s="31" t="s">
        <v>49</v>
      </c>
      <c r="C103" s="32">
        <v>-93.75</v>
      </c>
      <c r="D103" s="31" t="s">
        <v>211</v>
      </c>
    </row>
    <row r="104" spans="1:4" x14ac:dyDescent="0.2">
      <c r="A104" s="30">
        <v>45855</v>
      </c>
      <c r="B104" s="31" t="s">
        <v>49</v>
      </c>
      <c r="C104" s="32">
        <v>-2</v>
      </c>
      <c r="D104" s="31" t="s">
        <v>211</v>
      </c>
    </row>
    <row r="105" spans="1:4" x14ac:dyDescent="0.2">
      <c r="A105" s="30">
        <v>45853</v>
      </c>
      <c r="B105" s="31" t="s">
        <v>136</v>
      </c>
      <c r="C105" s="32">
        <v>-2444.02</v>
      </c>
      <c r="D105" s="31" t="s">
        <v>208</v>
      </c>
    </row>
    <row r="106" spans="1:4" x14ac:dyDescent="0.2">
      <c r="A106" s="30">
        <v>45847</v>
      </c>
      <c r="B106" s="31" t="s">
        <v>69</v>
      </c>
      <c r="C106" s="32">
        <v>-20</v>
      </c>
      <c r="D106" s="31" t="s">
        <v>213</v>
      </c>
    </row>
    <row r="107" spans="1:4" x14ac:dyDescent="0.2">
      <c r="A107" s="30">
        <v>45845</v>
      </c>
      <c r="B107" s="31" t="s">
        <v>69</v>
      </c>
      <c r="C107" s="32">
        <v>-21.2</v>
      </c>
      <c r="D107" s="31" t="s">
        <v>213</v>
      </c>
    </row>
    <row r="108" spans="1:4" x14ac:dyDescent="0.2">
      <c r="A108" s="30">
        <v>45839</v>
      </c>
      <c r="B108" s="31" t="s">
        <v>151</v>
      </c>
      <c r="C108" s="32">
        <v>-2250.8000000000002</v>
      </c>
      <c r="D108" s="31" t="s">
        <v>208</v>
      </c>
    </row>
    <row r="109" spans="1:4" x14ac:dyDescent="0.2">
      <c r="A109" s="30">
        <v>45829</v>
      </c>
      <c r="B109" s="31" t="s">
        <v>48</v>
      </c>
      <c r="C109" s="32">
        <v>-21.4</v>
      </c>
      <c r="D109" s="31" t="s">
        <v>210</v>
      </c>
    </row>
    <row r="110" spans="1:4" x14ac:dyDescent="0.2">
      <c r="A110" s="30">
        <v>45828</v>
      </c>
      <c r="B110" s="31" t="s">
        <v>49</v>
      </c>
      <c r="C110" s="32">
        <v>-2</v>
      </c>
      <c r="D110" s="31" t="s">
        <v>211</v>
      </c>
    </row>
    <row r="111" spans="1:4" x14ac:dyDescent="0.2">
      <c r="A111" s="30">
        <v>45828</v>
      </c>
      <c r="B111" s="31" t="s">
        <v>160</v>
      </c>
      <c r="C111" s="32">
        <v>-87.5</v>
      </c>
      <c r="D111" s="31" t="s">
        <v>211</v>
      </c>
    </row>
    <row r="112" spans="1:4" x14ac:dyDescent="0.2">
      <c r="A112" s="30">
        <v>45825</v>
      </c>
      <c r="B112" s="31" t="s">
        <v>160</v>
      </c>
      <c r="C112" s="32">
        <v>-93.75</v>
      </c>
      <c r="D112" s="31" t="s">
        <v>211</v>
      </c>
    </row>
    <row r="113" spans="1:4" x14ac:dyDescent="0.2">
      <c r="A113" s="30">
        <v>45825</v>
      </c>
      <c r="B113" s="31" t="s">
        <v>160</v>
      </c>
      <c r="C113" s="32">
        <v>-2</v>
      </c>
      <c r="D113" s="31" t="s">
        <v>211</v>
      </c>
    </row>
    <row r="114" spans="1:4" x14ac:dyDescent="0.2">
      <c r="A114" s="30">
        <v>45818</v>
      </c>
      <c r="B114" s="31" t="s">
        <v>170</v>
      </c>
      <c r="C114" s="32">
        <v>-2754.13</v>
      </c>
      <c r="D114" s="31" t="s">
        <v>208</v>
      </c>
    </row>
    <row r="115" spans="1:4" x14ac:dyDescent="0.2">
      <c r="A115" s="30">
        <v>45817</v>
      </c>
      <c r="B115" s="31" t="s">
        <v>172</v>
      </c>
      <c r="C115" s="32">
        <v>-20</v>
      </c>
      <c r="D115" s="31" t="s">
        <v>213</v>
      </c>
    </row>
    <row r="116" spans="1:4" x14ac:dyDescent="0.2">
      <c r="A116" s="30">
        <v>45813</v>
      </c>
      <c r="B116" s="31" t="s">
        <v>175</v>
      </c>
      <c r="C116" s="32">
        <v>-150.06</v>
      </c>
      <c r="D116" s="31" t="s">
        <v>208</v>
      </c>
    </row>
    <row r="117" spans="1:4" x14ac:dyDescent="0.2">
      <c r="A117" s="30">
        <v>45811</v>
      </c>
      <c r="B117" s="31" t="s">
        <v>177</v>
      </c>
      <c r="C117" s="32">
        <v>-2197.4299999999998</v>
      </c>
      <c r="D117" s="31" t="s">
        <v>208</v>
      </c>
    </row>
    <row r="118" spans="1:4" x14ac:dyDescent="0.2">
      <c r="B118" s="26" t="s">
        <v>215</v>
      </c>
      <c r="C118" s="39">
        <f>SUM(C79:C117)</f>
        <v>-23139.750000000004</v>
      </c>
    </row>
    <row r="120" spans="1:4" x14ac:dyDescent="0.2">
      <c r="A120" s="45" t="s">
        <v>216</v>
      </c>
      <c r="B120" s="42"/>
      <c r="C120" s="42"/>
      <c r="D120" s="42"/>
    </row>
    <row r="121" spans="1:4" x14ac:dyDescent="0.2">
      <c r="A121" s="30">
        <v>45846</v>
      </c>
      <c r="B121" s="31" t="s">
        <v>142</v>
      </c>
      <c r="C121" s="32">
        <v>-32.36</v>
      </c>
      <c r="D121" s="31" t="s">
        <v>217</v>
      </c>
    </row>
    <row r="122" spans="1:4" x14ac:dyDescent="0.2">
      <c r="B122" s="26" t="s">
        <v>218</v>
      </c>
      <c r="C122" s="39">
        <f>SUM(C121:C121)</f>
        <v>-32.36</v>
      </c>
    </row>
    <row r="124" spans="1:4" ht="16" customHeight="1" x14ac:dyDescent="0.2">
      <c r="B124" s="33" t="s">
        <v>219</v>
      </c>
      <c r="C124" s="34">
        <f>C76+C118+C122</f>
        <v>-29014.530000000006</v>
      </c>
    </row>
  </sheetData>
  <mergeCells count="5">
    <mergeCell ref="A1:D1"/>
    <mergeCell ref="A5:D5"/>
    <mergeCell ref="A120:D120"/>
    <mergeCell ref="A78:D78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0"/>
  <sheetViews>
    <sheetView workbookViewId="0">
      <pane ySplit="8" topLeftCell="A9" activePane="bottomLeft" state="frozen"/>
      <selection pane="bottomLeft" sqref="A1:D1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5" customWidth="1"/>
    <col min="4" max="4" width="35" customWidth="1"/>
  </cols>
  <sheetData>
    <row r="1" spans="1:4" ht="19" customHeight="1" x14ac:dyDescent="0.25">
      <c r="A1" s="46" t="s">
        <v>220</v>
      </c>
      <c r="B1" s="42"/>
      <c r="C1" s="42"/>
      <c r="D1" s="42"/>
    </row>
    <row r="3" spans="1:4" x14ac:dyDescent="0.2">
      <c r="A3" s="10" t="s">
        <v>221</v>
      </c>
    </row>
    <row r="4" spans="1:4" x14ac:dyDescent="0.2">
      <c r="A4" s="11" t="s">
        <v>222</v>
      </c>
      <c r="B4" s="12">
        <v>150000</v>
      </c>
    </row>
    <row r="5" spans="1:4" x14ac:dyDescent="0.2">
      <c r="A5" s="11" t="s">
        <v>223</v>
      </c>
      <c r="B5" s="6">
        <f>C30</f>
        <v>-25087.31</v>
      </c>
    </row>
    <row r="6" spans="1:4" x14ac:dyDescent="0.2">
      <c r="A6" s="11" t="s">
        <v>224</v>
      </c>
      <c r="B6" s="7">
        <f>B4-ABS(B5)</f>
        <v>124912.69</v>
      </c>
    </row>
    <row r="8" spans="1:4" x14ac:dyDescent="0.2">
      <c r="A8" s="13" t="s">
        <v>3</v>
      </c>
      <c r="B8" s="13" t="s">
        <v>4</v>
      </c>
      <c r="C8" s="13" t="s">
        <v>5</v>
      </c>
      <c r="D8" s="13" t="s">
        <v>8</v>
      </c>
    </row>
    <row r="9" spans="1:4" x14ac:dyDescent="0.2">
      <c r="A9" s="47" t="s">
        <v>225</v>
      </c>
      <c r="B9" s="42"/>
      <c r="C9" s="42"/>
      <c r="D9" s="42"/>
    </row>
    <row r="10" spans="1:4" x14ac:dyDescent="0.2">
      <c r="A10" s="14">
        <v>45923</v>
      </c>
      <c r="B10" s="15" t="s">
        <v>41</v>
      </c>
      <c r="C10" s="16">
        <v>-284.31</v>
      </c>
      <c r="D10" s="15" t="s">
        <v>226</v>
      </c>
    </row>
    <row r="11" spans="1:4" x14ac:dyDescent="0.2">
      <c r="A11" s="14">
        <v>45916</v>
      </c>
      <c r="B11" s="15" t="s">
        <v>52</v>
      </c>
      <c r="C11" s="16">
        <v>-2568.46</v>
      </c>
      <c r="D11" s="15" t="s">
        <v>226</v>
      </c>
    </row>
    <row r="12" spans="1:4" x14ac:dyDescent="0.2">
      <c r="A12" s="14">
        <v>45910</v>
      </c>
      <c r="B12" s="15" t="s">
        <v>61</v>
      </c>
      <c r="C12" s="16">
        <v>-1807.31</v>
      </c>
      <c r="D12" s="15" t="s">
        <v>226</v>
      </c>
    </row>
    <row r="13" spans="1:4" x14ac:dyDescent="0.2">
      <c r="A13" s="14">
        <v>45909</v>
      </c>
      <c r="B13" s="15" t="s">
        <v>68</v>
      </c>
      <c r="C13" s="16">
        <v>-1974.38</v>
      </c>
      <c r="D13" s="15" t="s">
        <v>226</v>
      </c>
    </row>
    <row r="14" spans="1:4" x14ac:dyDescent="0.2">
      <c r="A14" s="14">
        <v>45895</v>
      </c>
      <c r="B14" s="15" t="s">
        <v>88</v>
      </c>
      <c r="C14" s="16">
        <v>-1937.52</v>
      </c>
      <c r="D14" s="15" t="s">
        <v>226</v>
      </c>
    </row>
    <row r="15" spans="1:4" x14ac:dyDescent="0.2">
      <c r="A15" s="14">
        <v>45888</v>
      </c>
      <c r="B15" s="15" t="s">
        <v>93</v>
      </c>
      <c r="C15" s="16">
        <v>-1309.94</v>
      </c>
      <c r="D15" s="15" t="s">
        <v>226</v>
      </c>
    </row>
    <row r="16" spans="1:4" x14ac:dyDescent="0.2">
      <c r="A16" s="14">
        <v>45881</v>
      </c>
      <c r="B16" s="15" t="s">
        <v>98</v>
      </c>
      <c r="C16" s="16">
        <v>-2288.1799999999998</v>
      </c>
      <c r="D16" s="15" t="s">
        <v>226</v>
      </c>
    </row>
    <row r="17" spans="1:4" x14ac:dyDescent="0.2">
      <c r="A17" s="14">
        <v>45881</v>
      </c>
      <c r="B17" s="15" t="s">
        <v>99</v>
      </c>
      <c r="C17" s="16">
        <v>-434.37</v>
      </c>
      <c r="D17" s="15" t="s">
        <v>226</v>
      </c>
    </row>
    <row r="18" spans="1:4" x14ac:dyDescent="0.2">
      <c r="A18" s="14">
        <v>45868</v>
      </c>
      <c r="B18" s="15" t="s">
        <v>107</v>
      </c>
      <c r="C18" s="16">
        <v>-245.35</v>
      </c>
      <c r="D18" s="15" t="s">
        <v>226</v>
      </c>
    </row>
    <row r="19" spans="1:4" x14ac:dyDescent="0.2">
      <c r="A19" s="14">
        <v>45867</v>
      </c>
      <c r="B19" s="15" t="s">
        <v>108</v>
      </c>
      <c r="C19" s="16">
        <v>-2257.8200000000002</v>
      </c>
      <c r="D19" s="15" t="s">
        <v>226</v>
      </c>
    </row>
    <row r="20" spans="1:4" x14ac:dyDescent="0.2">
      <c r="A20" s="14">
        <v>45860</v>
      </c>
      <c r="B20" s="15" t="s">
        <v>115</v>
      </c>
      <c r="C20" s="16">
        <v>-2657.96</v>
      </c>
      <c r="D20" s="15" t="s">
        <v>226</v>
      </c>
    </row>
    <row r="21" spans="1:4" x14ac:dyDescent="0.2">
      <c r="A21" s="14">
        <v>45846</v>
      </c>
      <c r="B21" s="15" t="s">
        <v>144</v>
      </c>
      <c r="C21" s="16">
        <v>-2634.62</v>
      </c>
      <c r="D21" s="15" t="s">
        <v>226</v>
      </c>
    </row>
    <row r="22" spans="1:4" x14ac:dyDescent="0.2">
      <c r="A22" s="14">
        <v>45832</v>
      </c>
      <c r="B22" s="15" t="s">
        <v>157</v>
      </c>
      <c r="C22" s="16">
        <v>-1911.38</v>
      </c>
      <c r="D22" s="15" t="s">
        <v>226</v>
      </c>
    </row>
    <row r="23" spans="1:4" x14ac:dyDescent="0.2">
      <c r="A23" s="14">
        <v>45825</v>
      </c>
      <c r="B23" s="15" t="s">
        <v>164</v>
      </c>
      <c r="C23" s="16">
        <v>-2775.71</v>
      </c>
      <c r="D23" s="15" t="s">
        <v>226</v>
      </c>
    </row>
    <row r="24" spans="1:4" x14ac:dyDescent="0.2">
      <c r="B24" s="11" t="s">
        <v>227</v>
      </c>
      <c r="C24" s="17">
        <f>SUM(C10:C23)</f>
        <v>-25087.31</v>
      </c>
    </row>
    <row r="26" spans="1:4" x14ac:dyDescent="0.2">
      <c r="A26" s="47" t="s">
        <v>228</v>
      </c>
      <c r="B26" s="42"/>
      <c r="C26" s="42"/>
      <c r="D26" s="42"/>
    </row>
    <row r="27" spans="1:4" x14ac:dyDescent="0.2">
      <c r="B27" s="18" t="s">
        <v>229</v>
      </c>
    </row>
    <row r="28" spans="1:4" x14ac:dyDescent="0.2">
      <c r="B28" s="11" t="s">
        <v>230</v>
      </c>
      <c r="C28" s="17">
        <v>0</v>
      </c>
    </row>
    <row r="30" spans="1:4" ht="16" customHeight="1" x14ac:dyDescent="0.2">
      <c r="B30" s="8" t="s">
        <v>231</v>
      </c>
      <c r="C30" s="9">
        <f>C24+C28</f>
        <v>-25087.31</v>
      </c>
    </row>
  </sheetData>
  <mergeCells count="3">
    <mergeCell ref="A1:D1"/>
    <mergeCell ref="A9:D9"/>
    <mergeCell ref="A26:D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3"/>
  <sheetViews>
    <sheetView workbookViewId="0">
      <pane ySplit="8" topLeftCell="A9" activePane="bottomLeft" state="frozen"/>
      <selection pane="bottomLeft" activeCell="B32" sqref="B32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5" customWidth="1"/>
    <col min="4" max="4" width="35" customWidth="1"/>
  </cols>
  <sheetData>
    <row r="1" spans="1:4" ht="19" customHeight="1" x14ac:dyDescent="0.25">
      <c r="A1" s="44" t="s">
        <v>232</v>
      </c>
      <c r="B1" s="42"/>
      <c r="C1" s="42"/>
      <c r="D1" s="42"/>
    </row>
    <row r="3" spans="1:4" x14ac:dyDescent="0.2">
      <c r="A3" s="25" t="s">
        <v>221</v>
      </c>
    </row>
    <row r="4" spans="1:4" x14ac:dyDescent="0.2">
      <c r="A4" s="26" t="s">
        <v>222</v>
      </c>
      <c r="B4" s="27">
        <v>75000</v>
      </c>
    </row>
    <row r="5" spans="1:4" x14ac:dyDescent="0.2">
      <c r="A5" s="26" t="s">
        <v>223</v>
      </c>
      <c r="B5" s="28">
        <f>C43</f>
        <v>-23629.999999999996</v>
      </c>
    </row>
    <row r="6" spans="1:4" x14ac:dyDescent="0.2">
      <c r="A6" s="26" t="s">
        <v>224</v>
      </c>
      <c r="B6" s="35">
        <f>B4+B5</f>
        <v>51370</v>
      </c>
    </row>
    <row r="8" spans="1:4" x14ac:dyDescent="0.2">
      <c r="A8" s="29" t="s">
        <v>3</v>
      </c>
      <c r="B8" s="29" t="s">
        <v>4</v>
      </c>
      <c r="C8" s="29" t="s">
        <v>5</v>
      </c>
      <c r="D8" s="29" t="s">
        <v>8</v>
      </c>
    </row>
    <row r="9" spans="1:4" x14ac:dyDescent="0.2">
      <c r="A9" s="30">
        <v>45928</v>
      </c>
      <c r="B9" s="31" t="s">
        <v>30</v>
      </c>
      <c r="C9" s="32">
        <v>-53.62</v>
      </c>
      <c r="D9" s="31"/>
    </row>
    <row r="10" spans="1:4" x14ac:dyDescent="0.2">
      <c r="A10" s="30">
        <v>45925</v>
      </c>
      <c r="B10" s="31" t="s">
        <v>36</v>
      </c>
      <c r="C10" s="32">
        <v>-22.76</v>
      </c>
      <c r="D10" s="31"/>
    </row>
    <row r="11" spans="1:4" x14ac:dyDescent="0.2">
      <c r="A11" s="30">
        <v>45925</v>
      </c>
      <c r="B11" s="31" t="s">
        <v>37</v>
      </c>
      <c r="C11" s="32">
        <v>-63.84</v>
      </c>
      <c r="D11" s="31"/>
    </row>
    <row r="12" spans="1:4" x14ac:dyDescent="0.2">
      <c r="A12" s="30">
        <v>45919</v>
      </c>
      <c r="B12" s="31" t="s">
        <v>36</v>
      </c>
      <c r="C12" s="32">
        <v>-87.4</v>
      </c>
      <c r="D12" s="31"/>
    </row>
    <row r="13" spans="1:4" x14ac:dyDescent="0.2">
      <c r="A13" s="30">
        <v>45916</v>
      </c>
      <c r="B13" s="31" t="s">
        <v>53</v>
      </c>
      <c r="C13" s="32">
        <v>424.2</v>
      </c>
      <c r="D13" s="31" t="s">
        <v>54</v>
      </c>
    </row>
    <row r="14" spans="1:4" x14ac:dyDescent="0.2">
      <c r="A14" s="30">
        <v>45915</v>
      </c>
      <c r="B14" s="31" t="s">
        <v>55</v>
      </c>
      <c r="C14" s="32">
        <v>-42.25</v>
      </c>
      <c r="D14" s="31" t="s">
        <v>56</v>
      </c>
    </row>
    <row r="15" spans="1:4" x14ac:dyDescent="0.2">
      <c r="A15" s="30">
        <v>45913</v>
      </c>
      <c r="B15" s="31" t="s">
        <v>58</v>
      </c>
      <c r="C15" s="32">
        <v>-464.96</v>
      </c>
      <c r="D15" s="31"/>
    </row>
    <row r="16" spans="1:4" x14ac:dyDescent="0.2">
      <c r="A16" s="30">
        <v>45910</v>
      </c>
      <c r="B16" s="31" t="s">
        <v>55</v>
      </c>
      <c r="C16" s="32">
        <v>-146.99</v>
      </c>
      <c r="D16" s="31" t="s">
        <v>56</v>
      </c>
    </row>
    <row r="17" spans="1:4" x14ac:dyDescent="0.2">
      <c r="A17" s="30">
        <v>45904</v>
      </c>
      <c r="B17" s="31" t="s">
        <v>74</v>
      </c>
      <c r="C17" s="32">
        <v>-55</v>
      </c>
      <c r="D17" s="31" t="s">
        <v>75</v>
      </c>
    </row>
    <row r="18" spans="1:4" x14ac:dyDescent="0.2">
      <c r="A18" s="30">
        <v>45900</v>
      </c>
      <c r="B18" s="31" t="s">
        <v>80</v>
      </c>
      <c r="C18" s="32">
        <v>-1989.16</v>
      </c>
      <c r="D18" s="31" t="s">
        <v>233</v>
      </c>
    </row>
    <row r="19" spans="1:4" x14ac:dyDescent="0.2">
      <c r="A19" s="30">
        <v>45884</v>
      </c>
      <c r="B19" s="31" t="s">
        <v>94</v>
      </c>
      <c r="C19" s="32">
        <v>-179.53</v>
      </c>
      <c r="D19" s="31"/>
    </row>
    <row r="20" spans="1:4" x14ac:dyDescent="0.2">
      <c r="A20" s="30">
        <v>45874</v>
      </c>
      <c r="B20" s="31" t="s">
        <v>103</v>
      </c>
      <c r="C20" s="32">
        <v>-55</v>
      </c>
      <c r="D20" s="31" t="s">
        <v>75</v>
      </c>
    </row>
    <row r="21" spans="1:4" x14ac:dyDescent="0.2">
      <c r="A21" s="30">
        <v>45865</v>
      </c>
      <c r="B21" s="31" t="s">
        <v>109</v>
      </c>
      <c r="C21" s="32">
        <v>-577.67999999999995</v>
      </c>
      <c r="D21" s="31" t="s">
        <v>110</v>
      </c>
    </row>
    <row r="22" spans="1:4" x14ac:dyDescent="0.2">
      <c r="A22" s="30">
        <v>45863</v>
      </c>
      <c r="B22" s="31" t="s">
        <v>111</v>
      </c>
      <c r="C22" s="32">
        <v>-686.1</v>
      </c>
      <c r="D22" s="31" t="s">
        <v>112</v>
      </c>
    </row>
    <row r="23" spans="1:4" x14ac:dyDescent="0.2">
      <c r="A23" s="30">
        <v>45863</v>
      </c>
      <c r="B23" s="31" t="s">
        <v>113</v>
      </c>
      <c r="C23" s="32">
        <v>-1768.4</v>
      </c>
      <c r="D23" s="31" t="s">
        <v>114</v>
      </c>
    </row>
    <row r="24" spans="1:4" x14ac:dyDescent="0.2">
      <c r="A24" s="30">
        <v>45862</v>
      </c>
      <c r="B24" s="31" t="s">
        <v>55</v>
      </c>
      <c r="C24" s="32">
        <v>-61.47</v>
      </c>
      <c r="D24" s="31" t="s">
        <v>56</v>
      </c>
    </row>
    <row r="25" spans="1:4" x14ac:dyDescent="0.2">
      <c r="A25" s="30">
        <v>45856</v>
      </c>
      <c r="B25" s="31" t="s">
        <v>120</v>
      </c>
      <c r="C25" s="32">
        <v>-271.95</v>
      </c>
      <c r="D25" s="31" t="s">
        <v>121</v>
      </c>
    </row>
    <row r="26" spans="1:4" x14ac:dyDescent="0.2">
      <c r="A26" s="30">
        <v>45856</v>
      </c>
      <c r="B26" s="31" t="s">
        <v>122</v>
      </c>
      <c r="C26" s="32">
        <v>-859.23</v>
      </c>
      <c r="D26" s="31" t="s">
        <v>123</v>
      </c>
    </row>
    <row r="27" spans="1:4" x14ac:dyDescent="0.2">
      <c r="A27" s="30">
        <v>45855</v>
      </c>
      <c r="B27" s="31" t="s">
        <v>124</v>
      </c>
      <c r="C27" s="32">
        <v>-208.13</v>
      </c>
      <c r="D27" s="31"/>
    </row>
    <row r="28" spans="1:4" x14ac:dyDescent="0.2">
      <c r="A28" s="30">
        <v>45855</v>
      </c>
      <c r="B28" s="31" t="s">
        <v>127</v>
      </c>
      <c r="C28" s="32">
        <v>-2808.63</v>
      </c>
      <c r="D28" s="31" t="s">
        <v>128</v>
      </c>
    </row>
    <row r="29" spans="1:4" x14ac:dyDescent="0.2">
      <c r="A29" s="30">
        <v>45855</v>
      </c>
      <c r="B29" s="31" t="s">
        <v>129</v>
      </c>
      <c r="C29" s="32">
        <v>-1426.04</v>
      </c>
      <c r="D29" s="31" t="s">
        <v>130</v>
      </c>
    </row>
    <row r="30" spans="1:4" x14ac:dyDescent="0.2">
      <c r="A30" s="30">
        <v>45855</v>
      </c>
      <c r="B30" s="31" t="s">
        <v>131</v>
      </c>
      <c r="C30" s="32">
        <v>-1508.54</v>
      </c>
      <c r="D30" s="31" t="s">
        <v>132</v>
      </c>
    </row>
    <row r="31" spans="1:4" x14ac:dyDescent="0.2">
      <c r="A31" s="30">
        <v>45855</v>
      </c>
      <c r="B31" s="31" t="s">
        <v>127</v>
      </c>
      <c r="C31" s="32">
        <v>-2810.81</v>
      </c>
      <c r="D31" s="31" t="s">
        <v>133</v>
      </c>
    </row>
    <row r="32" spans="1:4" x14ac:dyDescent="0.2">
      <c r="A32" s="30">
        <v>45855</v>
      </c>
      <c r="B32" s="31" t="s">
        <v>134</v>
      </c>
      <c r="C32" s="32">
        <v>-2810.8</v>
      </c>
      <c r="D32" s="31" t="s">
        <v>135</v>
      </c>
    </row>
    <row r="33" spans="1:4" x14ac:dyDescent="0.2">
      <c r="A33" s="30">
        <v>45855</v>
      </c>
      <c r="B33" s="31" t="s">
        <v>129</v>
      </c>
      <c r="C33" s="32">
        <v>-1502.37</v>
      </c>
      <c r="D33" s="31" t="s">
        <v>132</v>
      </c>
    </row>
    <row r="34" spans="1:4" x14ac:dyDescent="0.2">
      <c r="A34" s="30">
        <v>45853</v>
      </c>
      <c r="B34" s="31" t="s">
        <v>58</v>
      </c>
      <c r="C34" s="32">
        <v>-127.93</v>
      </c>
      <c r="D34" s="31"/>
    </row>
    <row r="35" spans="1:4" x14ac:dyDescent="0.2">
      <c r="A35" s="30">
        <v>45847</v>
      </c>
      <c r="B35" s="31" t="s">
        <v>140</v>
      </c>
      <c r="C35" s="32">
        <v>-350</v>
      </c>
      <c r="D35" s="31" t="s">
        <v>141</v>
      </c>
    </row>
    <row r="36" spans="1:4" x14ac:dyDescent="0.2">
      <c r="A36" s="30">
        <v>45843</v>
      </c>
      <c r="B36" s="31" t="s">
        <v>58</v>
      </c>
      <c r="C36" s="32">
        <v>-303.49</v>
      </c>
      <c r="D36" s="31"/>
    </row>
    <row r="37" spans="1:4" x14ac:dyDescent="0.2">
      <c r="A37" s="30">
        <v>45836</v>
      </c>
      <c r="B37" s="31" t="s">
        <v>152</v>
      </c>
      <c r="C37" s="32">
        <v>-1074.21</v>
      </c>
      <c r="D37" s="31"/>
    </row>
    <row r="38" spans="1:4" x14ac:dyDescent="0.2">
      <c r="A38" s="30">
        <v>45827</v>
      </c>
      <c r="B38" s="31" t="s">
        <v>94</v>
      </c>
      <c r="C38" s="32">
        <v>-580.87</v>
      </c>
      <c r="D38" s="31"/>
    </row>
    <row r="39" spans="1:4" x14ac:dyDescent="0.2">
      <c r="A39" s="30">
        <v>45821</v>
      </c>
      <c r="B39" s="31" t="s">
        <v>62</v>
      </c>
      <c r="C39" s="32">
        <v>-51.94</v>
      </c>
      <c r="D39" s="31" t="s">
        <v>56</v>
      </c>
    </row>
    <row r="40" spans="1:4" x14ac:dyDescent="0.2">
      <c r="A40" s="30">
        <v>45815</v>
      </c>
      <c r="B40" s="31" t="s">
        <v>174</v>
      </c>
      <c r="C40" s="32">
        <v>-552.54999999999995</v>
      </c>
      <c r="D40" s="31"/>
    </row>
    <row r="41" spans="1:4" x14ac:dyDescent="0.2">
      <c r="A41" s="30">
        <v>45815</v>
      </c>
      <c r="B41" s="31" t="s">
        <v>174</v>
      </c>
      <c r="C41" s="32">
        <v>-552.54999999999995</v>
      </c>
      <c r="D41" s="31"/>
    </row>
    <row r="43" spans="1:4" ht="16" customHeight="1" x14ac:dyDescent="0.2">
      <c r="B43" s="33" t="s">
        <v>234</v>
      </c>
      <c r="C43" s="34">
        <f>SUM(C9:C41)</f>
        <v>-23629.999999999996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7"/>
  <sheetViews>
    <sheetView tabSelected="1" workbookViewId="0">
      <pane ySplit="8" topLeftCell="A12" activePane="bottomLeft" state="frozen"/>
      <selection pane="bottomLeft" activeCell="B35" sqref="B35"/>
    </sheetView>
  </sheetViews>
  <sheetFormatPr baseColWidth="10" defaultColWidth="8.83203125" defaultRowHeight="15" x14ac:dyDescent="0.2"/>
  <cols>
    <col min="1" max="1" width="12" customWidth="1"/>
    <col min="2" max="2" width="50" customWidth="1"/>
    <col min="3" max="3" width="15" customWidth="1"/>
    <col min="4" max="4" width="35" customWidth="1"/>
  </cols>
  <sheetData>
    <row r="1" spans="1:4" ht="19" customHeight="1" x14ac:dyDescent="0.25">
      <c r="A1" s="44" t="s">
        <v>235</v>
      </c>
      <c r="B1" s="42"/>
      <c r="C1" s="42"/>
      <c r="D1" s="42"/>
    </row>
    <row r="3" spans="1:4" x14ac:dyDescent="0.2">
      <c r="A3" s="25" t="s">
        <v>221</v>
      </c>
    </row>
    <row r="4" spans="1:4" x14ac:dyDescent="0.2">
      <c r="A4" s="26" t="s">
        <v>222</v>
      </c>
      <c r="B4" s="27">
        <v>20000</v>
      </c>
    </row>
    <row r="5" spans="1:4" x14ac:dyDescent="0.2">
      <c r="A5" s="26" t="s">
        <v>223</v>
      </c>
      <c r="B5" s="28">
        <f>C37</f>
        <v>-5130.03</v>
      </c>
    </row>
    <row r="6" spans="1:4" x14ac:dyDescent="0.2">
      <c r="A6" s="26" t="s">
        <v>224</v>
      </c>
      <c r="B6" s="35">
        <f>B4-ABS(B5)</f>
        <v>14869.970000000001</v>
      </c>
    </row>
    <row r="8" spans="1:4" x14ac:dyDescent="0.2">
      <c r="A8" s="29" t="s">
        <v>3</v>
      </c>
      <c r="B8" s="29" t="s">
        <v>4</v>
      </c>
      <c r="C8" s="29" t="s">
        <v>5</v>
      </c>
      <c r="D8" s="29" t="s">
        <v>8</v>
      </c>
    </row>
    <row r="9" spans="1:4" x14ac:dyDescent="0.2">
      <c r="A9" s="30">
        <v>45932</v>
      </c>
      <c r="B9" s="31" t="s">
        <v>14</v>
      </c>
      <c r="C9" s="32">
        <v>-0.01</v>
      </c>
      <c r="D9" s="31" t="s">
        <v>16</v>
      </c>
    </row>
    <row r="10" spans="1:4" x14ac:dyDescent="0.2">
      <c r="A10" s="30">
        <v>45931</v>
      </c>
      <c r="B10" s="31" t="s">
        <v>22</v>
      </c>
      <c r="C10" s="32">
        <v>-21.39</v>
      </c>
      <c r="D10" s="31" t="s">
        <v>23</v>
      </c>
    </row>
    <row r="11" spans="1:4" x14ac:dyDescent="0.2">
      <c r="A11" s="30">
        <v>45922</v>
      </c>
      <c r="B11" s="31" t="s">
        <v>45</v>
      </c>
      <c r="C11" s="32">
        <v>-20.329999999999998</v>
      </c>
      <c r="D11" s="31" t="s">
        <v>46</v>
      </c>
    </row>
    <row r="12" spans="1:4" x14ac:dyDescent="0.2">
      <c r="A12" s="30">
        <v>45918</v>
      </c>
      <c r="B12" s="31" t="s">
        <v>50</v>
      </c>
      <c r="C12" s="32">
        <v>-75</v>
      </c>
      <c r="D12" s="31" t="s">
        <v>51</v>
      </c>
    </row>
    <row r="13" spans="1:4" x14ac:dyDescent="0.2">
      <c r="A13" s="30">
        <v>45910</v>
      </c>
      <c r="B13" s="31" t="s">
        <v>62</v>
      </c>
      <c r="C13" s="32">
        <v>-108.65</v>
      </c>
      <c r="D13" s="31" t="s">
        <v>56</v>
      </c>
    </row>
    <row r="14" spans="1:4" x14ac:dyDescent="0.2">
      <c r="A14" s="30">
        <v>45902</v>
      </c>
      <c r="B14" s="31" t="s">
        <v>77</v>
      </c>
      <c r="C14" s="32">
        <v>-0.01</v>
      </c>
      <c r="D14" s="31" t="s">
        <v>16</v>
      </c>
    </row>
    <row r="15" spans="1:4" x14ac:dyDescent="0.2">
      <c r="A15" s="30">
        <v>45900</v>
      </c>
      <c r="B15" s="31" t="s">
        <v>22</v>
      </c>
      <c r="C15" s="32">
        <v>-21.39</v>
      </c>
      <c r="D15" s="31" t="s">
        <v>23</v>
      </c>
    </row>
    <row r="16" spans="1:4" x14ac:dyDescent="0.2">
      <c r="A16" s="30">
        <v>45898</v>
      </c>
      <c r="B16" s="31" t="s">
        <v>82</v>
      </c>
      <c r="C16" s="32">
        <v>-117</v>
      </c>
      <c r="D16" s="31" t="s">
        <v>83</v>
      </c>
    </row>
    <row r="17" spans="1:4" x14ac:dyDescent="0.2">
      <c r="A17" s="30">
        <v>45898</v>
      </c>
      <c r="B17" s="31" t="s">
        <v>82</v>
      </c>
      <c r="C17" s="32">
        <v>-25</v>
      </c>
      <c r="D17" s="31" t="s">
        <v>84</v>
      </c>
    </row>
    <row r="18" spans="1:4" x14ac:dyDescent="0.2">
      <c r="A18" s="30">
        <v>45897</v>
      </c>
      <c r="B18" s="31" t="s">
        <v>85</v>
      </c>
      <c r="C18" s="32">
        <v>-0.02</v>
      </c>
      <c r="D18" s="31" t="s">
        <v>28</v>
      </c>
    </row>
    <row r="19" spans="1:4" x14ac:dyDescent="0.2">
      <c r="A19" s="30">
        <v>45895</v>
      </c>
      <c r="B19" s="31" t="s">
        <v>89</v>
      </c>
      <c r="C19" s="32">
        <v>-2062.0300000000002</v>
      </c>
      <c r="D19" s="31" t="s">
        <v>90</v>
      </c>
    </row>
    <row r="20" spans="1:4" x14ac:dyDescent="0.2">
      <c r="A20" s="30">
        <v>45891</v>
      </c>
      <c r="B20" s="31" t="s">
        <v>91</v>
      </c>
      <c r="C20" s="32">
        <v>-7</v>
      </c>
      <c r="D20" s="31" t="s">
        <v>51</v>
      </c>
    </row>
    <row r="21" spans="1:4" x14ac:dyDescent="0.2">
      <c r="A21" s="30">
        <v>45889</v>
      </c>
      <c r="B21" s="31" t="s">
        <v>45</v>
      </c>
      <c r="C21" s="32">
        <v>-20.329999999999998</v>
      </c>
      <c r="D21" s="31" t="s">
        <v>46</v>
      </c>
    </row>
    <row r="22" spans="1:4" x14ac:dyDescent="0.2">
      <c r="A22" s="30">
        <v>45871</v>
      </c>
      <c r="B22" s="31" t="s">
        <v>105</v>
      </c>
      <c r="C22" s="32">
        <v>-0.01</v>
      </c>
      <c r="D22" s="31" t="s">
        <v>16</v>
      </c>
    </row>
    <row r="23" spans="1:4" x14ac:dyDescent="0.2">
      <c r="A23" s="30">
        <v>45869</v>
      </c>
      <c r="B23" s="31" t="s">
        <v>22</v>
      </c>
      <c r="C23" s="32">
        <v>-21.39</v>
      </c>
      <c r="D23" s="31" t="s">
        <v>23</v>
      </c>
    </row>
    <row r="24" spans="1:4" x14ac:dyDescent="0.2">
      <c r="A24" s="30">
        <v>45862</v>
      </c>
      <c r="B24" s="31" t="s">
        <v>62</v>
      </c>
      <c r="C24" s="32">
        <v>-28.08</v>
      </c>
      <c r="D24" s="31" t="s">
        <v>56</v>
      </c>
    </row>
    <row r="25" spans="1:4" x14ac:dyDescent="0.2">
      <c r="A25" s="30">
        <v>45860</v>
      </c>
      <c r="B25" s="31" t="s">
        <v>45</v>
      </c>
      <c r="C25" s="32">
        <v>-48.15</v>
      </c>
      <c r="D25" s="31" t="s">
        <v>46</v>
      </c>
    </row>
    <row r="26" spans="1:4" x14ac:dyDescent="0.2">
      <c r="A26" s="30">
        <v>45851</v>
      </c>
      <c r="B26" s="31" t="s">
        <v>55</v>
      </c>
      <c r="C26" s="32">
        <v>-49.81</v>
      </c>
      <c r="D26" s="31" t="s">
        <v>236</v>
      </c>
    </row>
    <row r="27" spans="1:4" x14ac:dyDescent="0.2">
      <c r="A27" s="30">
        <v>45851</v>
      </c>
      <c r="B27" s="31" t="s">
        <v>55</v>
      </c>
      <c r="C27" s="32">
        <v>-49.81</v>
      </c>
      <c r="D27" s="31" t="s">
        <v>56</v>
      </c>
    </row>
    <row r="28" spans="1:4" x14ac:dyDescent="0.2">
      <c r="A28" s="30">
        <v>45840</v>
      </c>
      <c r="B28" s="31" t="s">
        <v>147</v>
      </c>
      <c r="C28" s="32">
        <v>-0.08</v>
      </c>
      <c r="D28" s="31" t="s">
        <v>16</v>
      </c>
    </row>
    <row r="29" spans="1:4" x14ac:dyDescent="0.2">
      <c r="A29" s="30">
        <v>45839</v>
      </c>
      <c r="B29" s="31" t="s">
        <v>22</v>
      </c>
      <c r="C29" s="32">
        <v>-21.39</v>
      </c>
      <c r="D29" s="31" t="s">
        <v>23</v>
      </c>
    </row>
    <row r="30" spans="1:4" x14ac:dyDescent="0.2">
      <c r="A30" s="30">
        <v>45838</v>
      </c>
      <c r="B30" s="31" t="s">
        <v>12</v>
      </c>
      <c r="C30" s="32">
        <v>-0.33</v>
      </c>
      <c r="D30" s="31" t="s">
        <v>16</v>
      </c>
    </row>
    <row r="31" spans="1:4" x14ac:dyDescent="0.2">
      <c r="A31" s="40">
        <v>45810</v>
      </c>
      <c r="B31" t="s">
        <v>180</v>
      </c>
      <c r="C31" s="50">
        <v>-44.99</v>
      </c>
      <c r="D31" t="s">
        <v>181</v>
      </c>
    </row>
    <row r="32" spans="1:4" x14ac:dyDescent="0.2">
      <c r="A32" s="40">
        <v>45810</v>
      </c>
      <c r="B32" t="s">
        <v>58</v>
      </c>
      <c r="C32" s="50">
        <v>-74.989999999999995</v>
      </c>
      <c r="D32" t="s">
        <v>181</v>
      </c>
    </row>
    <row r="33" spans="1:4" x14ac:dyDescent="0.2">
      <c r="A33" s="30">
        <v>45831</v>
      </c>
      <c r="B33" s="31" t="s">
        <v>45</v>
      </c>
      <c r="C33" s="32">
        <v>-45</v>
      </c>
      <c r="D33" s="31" t="s">
        <v>46</v>
      </c>
    </row>
    <row r="34" spans="1:4" x14ac:dyDescent="0.2">
      <c r="A34" s="30">
        <v>45806</v>
      </c>
      <c r="B34" s="31" t="s">
        <v>185</v>
      </c>
      <c r="C34" s="32">
        <v>-2133.5700000000002</v>
      </c>
      <c r="D34" s="31" t="s">
        <v>28</v>
      </c>
    </row>
    <row r="35" spans="1:4" ht="16" customHeight="1" x14ac:dyDescent="0.2">
      <c r="A35" s="30">
        <v>45806</v>
      </c>
      <c r="B35" s="31" t="s">
        <v>186</v>
      </c>
      <c r="C35" s="32">
        <v>-134.27000000000001</v>
      </c>
      <c r="D35" s="31" t="s">
        <v>28</v>
      </c>
    </row>
    <row r="37" spans="1:4" ht="16" x14ac:dyDescent="0.2">
      <c r="B37" s="33" t="s">
        <v>231</v>
      </c>
      <c r="C37" s="34">
        <f>SUM(C9:C35)</f>
        <v>-5130.03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15" customWidth="1"/>
    <col min="4" max="4" width="30" customWidth="1"/>
  </cols>
  <sheetData>
    <row r="1" spans="1:4" ht="19" customHeight="1" x14ac:dyDescent="0.25">
      <c r="A1" s="48" t="s">
        <v>237</v>
      </c>
      <c r="B1" s="42"/>
      <c r="C1" s="42"/>
      <c r="D1" s="42"/>
    </row>
    <row r="2" spans="1:4" x14ac:dyDescent="0.2">
      <c r="A2" s="49" t="s">
        <v>238</v>
      </c>
      <c r="B2" s="42"/>
      <c r="C2" s="42"/>
      <c r="D2" s="42"/>
    </row>
    <row r="4" spans="1:4" x14ac:dyDescent="0.2">
      <c r="A4" s="19" t="s">
        <v>3</v>
      </c>
      <c r="B4" s="19" t="s">
        <v>239</v>
      </c>
      <c r="C4" s="19" t="s">
        <v>5</v>
      </c>
      <c r="D4" s="19" t="s">
        <v>8</v>
      </c>
    </row>
    <row r="5" spans="1:4" x14ac:dyDescent="0.2">
      <c r="A5" s="20">
        <v>45931</v>
      </c>
      <c r="B5" s="21" t="s">
        <v>240</v>
      </c>
      <c r="C5" s="22">
        <v>284.55</v>
      </c>
      <c r="D5" s="21"/>
    </row>
    <row r="6" spans="1:4" x14ac:dyDescent="0.2">
      <c r="A6" s="20">
        <v>45901</v>
      </c>
      <c r="B6" s="21" t="s">
        <v>241</v>
      </c>
      <c r="C6" s="22">
        <v>356.55</v>
      </c>
      <c r="D6" s="21"/>
    </row>
    <row r="7" spans="1:4" x14ac:dyDescent="0.2">
      <c r="A7" s="20">
        <v>45870</v>
      </c>
      <c r="B7" s="21" t="s">
        <v>242</v>
      </c>
      <c r="C7" s="22">
        <v>371.16</v>
      </c>
      <c r="D7" s="21"/>
    </row>
    <row r="8" spans="1:4" x14ac:dyDescent="0.2">
      <c r="A8" s="20">
        <v>45839</v>
      </c>
      <c r="B8" s="21" t="s">
        <v>243</v>
      </c>
      <c r="C8" s="22">
        <v>144.9</v>
      </c>
      <c r="D8" s="21"/>
    </row>
    <row r="9" spans="1:4" x14ac:dyDescent="0.2">
      <c r="A9" s="20">
        <v>45809</v>
      </c>
      <c r="B9" s="21" t="s">
        <v>244</v>
      </c>
      <c r="C9" s="22">
        <v>4.0999999999999996</v>
      </c>
      <c r="D9" s="21"/>
    </row>
    <row r="11" spans="1:4" ht="16" customHeight="1" x14ac:dyDescent="0.2">
      <c r="B11" s="23" t="s">
        <v>245</v>
      </c>
      <c r="C11" s="24">
        <f>SUM(C5:C9)</f>
        <v>1161.26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Transactions</vt:lpstr>
      <vt:lpstr>HxA-AVDF</vt:lpstr>
      <vt:lpstr>Tools</vt:lpstr>
      <vt:lpstr>Snider</vt:lpstr>
      <vt:lpstr>Ben Delo</vt:lpstr>
      <vt:lpstr>Interest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DiBella</cp:lastModifiedBy>
  <dcterms:created xsi:type="dcterms:W3CDTF">2025-10-07T02:45:56Z</dcterms:created>
  <dcterms:modified xsi:type="dcterms:W3CDTF">2025-10-11T01:49:02Z</dcterms:modified>
</cp:coreProperties>
</file>