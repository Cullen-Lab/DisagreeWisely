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740" windowWidth="29400" windowHeight="17640" tabRatio="600" firstSheet="0" activeTab="0" autoFilterDateGrouping="1"/>
  </bookViews>
  <sheets>
    <sheet name="All Transactions" sheetId="1" state="visible" r:id="rId1"/>
    <sheet name="HxA-AVDF" sheetId="2" state="visible" r:id="rId2"/>
    <sheet name="Tools" sheetId="3" state="visible" r:id="rId3"/>
    <sheet name="Snider" sheetId="4" state="visible" r:id="rId4"/>
    <sheet name="Ben Delo" sheetId="5" state="visible" r:id="rId5"/>
    <sheet name="Interes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"/>
    <numFmt numFmtId="165" formatCode="&quot;$&quot;#,##0.00;[Red]\-&quot;$&quot;#,##0.00"/>
    <numFmt numFmtId="166" formatCode="&quot;$&quot;#,##0.00"/>
    <numFmt numFmtId="167" formatCode="yyyy-mm-dd h:mm:ss"/>
    <numFmt numFmtId="168" formatCode="yyyy-mm-dd"/>
  </numFmts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i val="1"/>
      <sz val="11"/>
    </font>
    <font>
      <name val="Calibri"/>
      <family val="2"/>
      <i val="1"/>
      <sz val="11"/>
    </font>
    <font>
      <name val="Calibri"/>
      <family val="2"/>
      <b val="1"/>
      <sz val="14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b val="1"/>
      <i val="1"/>
      <sz val="11"/>
    </font>
    <font>
      <name val="Calibri"/>
      <family val="2"/>
      <b val="1"/>
      <i val="1"/>
      <sz val="10"/>
    </font>
    <font>
      <name val="Calibri"/>
      <family val="2"/>
      <i val="1"/>
      <sz val="11"/>
    </font>
  </fonts>
  <fills count="1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5" fontId="0" fillId="0" borderId="1" applyAlignment="1" pivotButton="0" quotePrefix="0" xfId="0">
      <alignment horizontal="right"/>
    </xf>
    <xf numFmtId="165" fontId="0" fillId="0" borderId="1" pivotButton="0" quotePrefix="0" xfId="0"/>
    <xf numFmtId="165" fontId="4" fillId="0" borderId="0" pivotButton="0" quotePrefix="0" xfId="0"/>
    <xf numFmtId="165" fontId="4" fillId="3" borderId="0" pivotButton="0" quotePrefix="0" xfId="0"/>
    <xf numFmtId="0" fontId="5" fillId="0" borderId="0" pivotButton="0" quotePrefix="0" xfId="0"/>
    <xf numFmtId="165" fontId="5" fillId="4" borderId="0" pivotButton="0" quotePrefix="0" xfId="0"/>
    <xf numFmtId="0" fontId="6" fillId="0" borderId="0" pivotButton="0" quotePrefix="0" xfId="0"/>
    <xf numFmtId="0" fontId="4" fillId="0" borderId="0" pivotButton="0" quotePrefix="0" xfId="0"/>
    <xf numFmtId="166" fontId="4" fillId="5" borderId="0" pivotButton="0" quotePrefix="0" xfId="0"/>
    <xf numFmtId="0" fontId="8" fillId="6" borderId="2" applyAlignment="1" pivotButton="0" quotePrefix="0" xfId="0">
      <alignment horizontal="center" vertical="center"/>
    </xf>
    <xf numFmtId="164" fontId="0" fillId="0" borderId="2" pivotButton="0" quotePrefix="0" xfId="0"/>
    <xf numFmtId="0" fontId="0" fillId="0" borderId="2" pivotButton="0" quotePrefix="0" xfId="0"/>
    <xf numFmtId="165" fontId="0" fillId="0" borderId="2" applyAlignment="1" pivotButton="0" quotePrefix="0" xfId="0">
      <alignment horizontal="right"/>
    </xf>
    <xf numFmtId="165" fontId="4" fillId="7" borderId="0" pivotButton="0" quotePrefix="0" xfId="0"/>
    <xf numFmtId="0" fontId="10" fillId="0" borderId="0" pivotButton="0" quotePrefix="0" xfId="0"/>
    <xf numFmtId="0" fontId="13" fillId="8" borderId="3" applyAlignment="1" pivotButton="0" quotePrefix="0" xfId="0">
      <alignment horizontal="center" vertical="center"/>
    </xf>
    <xf numFmtId="164" fontId="0" fillId="0" borderId="3" pivotButton="0" quotePrefix="0" xfId="0"/>
    <xf numFmtId="0" fontId="0" fillId="0" borderId="3" pivotButton="0" quotePrefix="0" xfId="0"/>
    <xf numFmtId="166" fontId="0" fillId="0" borderId="3" applyAlignment="1" pivotButton="0" quotePrefix="0" xfId="0">
      <alignment horizontal="right"/>
    </xf>
    <xf numFmtId="0" fontId="14" fillId="0" borderId="0" pivotButton="0" quotePrefix="0" xfId="0"/>
    <xf numFmtId="166" fontId="14" fillId="9" borderId="0" pivotButton="0" quotePrefix="0" xfId="0"/>
    <xf numFmtId="0" fontId="16" fillId="0" borderId="0" pivotButton="0" quotePrefix="0" xfId="0"/>
    <xf numFmtId="0" fontId="17" fillId="0" borderId="0" pivotButton="0" quotePrefix="0" xfId="0"/>
    <xf numFmtId="166" fontId="17" fillId="10" borderId="0" pivotButton="0" quotePrefix="0" xfId="0"/>
    <xf numFmtId="165" fontId="17" fillId="0" borderId="0" pivotButton="0" quotePrefix="0" xfId="0"/>
    <xf numFmtId="0" fontId="18" fillId="11" borderId="4" applyAlignment="1" pivotButton="0" quotePrefix="0" xfId="0">
      <alignment horizontal="center" vertical="center"/>
    </xf>
    <xf numFmtId="164" fontId="0" fillId="0" borderId="4" pivotButton="0" quotePrefix="0" xfId="0"/>
    <xf numFmtId="0" fontId="0" fillId="0" borderId="4" pivotButton="0" quotePrefix="0" xfId="0"/>
    <xf numFmtId="165" fontId="0" fillId="0" borderId="4" applyAlignment="1" pivotButton="0" quotePrefix="0" xfId="0">
      <alignment horizontal="right"/>
    </xf>
    <xf numFmtId="0" fontId="19" fillId="0" borderId="0" pivotButton="0" quotePrefix="0" xfId="0"/>
    <xf numFmtId="165" fontId="19" fillId="12" borderId="0" pivotButton="0" quotePrefix="0" xfId="0"/>
    <xf numFmtId="166" fontId="17" fillId="13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right" indent="2"/>
    </xf>
    <xf numFmtId="165" fontId="22" fillId="14" borderId="0" pivotButton="0" quotePrefix="0" xfId="0"/>
    <xf numFmtId="165" fontId="17" fillId="15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8" fontId="0" fillId="0" borderId="0" pivotButton="0" quotePrefix="0" xfId="0"/>
    <xf numFmtId="4" fontId="19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tabSelected="1" workbookViewId="0">
      <pane ySplit="5" topLeftCell="A185" activePane="bottomLeft" state="frozen"/>
      <selection pane="bottomLeft" activeCell="E210" sqref="E210"/>
    </sheetView>
  </sheetViews>
  <sheetFormatPr baseColWidth="10" defaultColWidth="8.83203125" defaultRowHeight="15"/>
  <cols>
    <col width="12" customWidth="1" style="41" min="1" max="1"/>
    <col width="50" customWidth="1" style="41" min="2" max="2"/>
    <col width="15" customWidth="1" style="41" min="3" max="4"/>
    <col width="20" customWidth="1" style="41" min="5" max="5"/>
    <col width="44" customWidth="1" style="41" min="6" max="6"/>
  </cols>
  <sheetData>
    <row r="1" ht="19" customHeight="1" s="41">
      <c r="A1" s="42" t="inlineStr">
        <is>
          <t>Disagree Wisely, Inc. - Business Account Transactions</t>
        </is>
      </c>
    </row>
    <row r="2">
      <c r="A2" s="40" t="inlineStr">
        <is>
          <t>Account Period: May 2025 - October 2025</t>
        </is>
      </c>
    </row>
    <row r="3">
      <c r="A3" s="40" t="inlineStr">
        <is>
          <t>Generated: October 06, 2025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Amount</t>
        </is>
      </c>
      <c r="D5" s="1" t="inlineStr">
        <is>
          <t>Balance</t>
        </is>
      </c>
      <c r="E5" s="1" t="inlineStr">
        <is>
          <t>Funding Source</t>
        </is>
      </c>
      <c r="F5" s="1" t="inlineStr">
        <is>
          <t>Notes</t>
        </is>
      </c>
    </row>
    <row r="6">
      <c r="A6" s="2" t="n">
        <v>45935</v>
      </c>
      <c r="B6" s="3" t="inlineStr">
        <is>
          <t>TWILIO INC, SAN FRANCISCO, CA</t>
        </is>
      </c>
      <c r="C6" s="4" t="n">
        <v>-10</v>
      </c>
      <c r="D6" s="4" t="n">
        <v>88254.70000000016</v>
      </c>
      <c r="E6" s="3" t="inlineStr">
        <is>
          <t>HxA/AVDF</t>
        </is>
      </c>
      <c r="F6" s="3" t="inlineStr">
        <is>
          <t>Not included in October reimbursement request</t>
        </is>
      </c>
    </row>
    <row r="7">
      <c r="A7" s="2" t="n">
        <v>45935</v>
      </c>
      <c r="B7" s="3" t="inlineStr">
        <is>
          <t>TWILIO INC, SAN FRANCISCO, CA</t>
        </is>
      </c>
      <c r="C7" s="4" t="n">
        <v>-10.23</v>
      </c>
      <c r="D7" s="5" t="n">
        <v>88244.47000000016</v>
      </c>
      <c r="E7" s="3" t="inlineStr">
        <is>
          <t>HxA/AVDF</t>
        </is>
      </c>
      <c r="F7" s="3" t="inlineStr">
        <is>
          <t>Not included in October reimbursement request</t>
        </is>
      </c>
    </row>
    <row r="8">
      <c r="A8" s="2" t="n">
        <v>45934</v>
      </c>
      <c r="B8" s="3" t="inlineStr">
        <is>
          <t>TWILIO INC, SAN FRANCISCO, CA</t>
        </is>
      </c>
      <c r="C8" s="4" t="n">
        <v>-10.03</v>
      </c>
      <c r="D8" s="4" t="n">
        <v>88289.65000000015</v>
      </c>
      <c r="E8" s="3" t="inlineStr">
        <is>
          <t>HxA/AVDF</t>
        </is>
      </c>
      <c r="F8" s="3" t="inlineStr">
        <is>
          <t>Not included in October reimbursement request</t>
        </is>
      </c>
    </row>
    <row r="9">
      <c r="A9" s="2" t="n">
        <v>45934</v>
      </c>
      <c r="B9" s="3" t="inlineStr">
        <is>
          <t>TWILIO SENDGRID, SAN FRANCISCO, CA</t>
        </is>
      </c>
      <c r="C9" s="4" t="n">
        <v>-24.95</v>
      </c>
      <c r="D9" s="5" t="n">
        <v>88264.70000000016</v>
      </c>
      <c r="E9" s="3" t="inlineStr">
        <is>
          <t>HxA/AVDF</t>
        </is>
      </c>
      <c r="F9" s="3" t="inlineStr">
        <is>
          <t>Infrastructure - Miscellaneous (SMS/notifications)</t>
        </is>
      </c>
    </row>
    <row r="10">
      <c r="A10" s="2" t="n">
        <v>45933</v>
      </c>
      <c r="B10" s="3" t="inlineStr">
        <is>
          <t>TWILIO INC, SAN FRANCISCO, CA</t>
        </is>
      </c>
      <c r="C10" s="4" t="n">
        <v>-10.05</v>
      </c>
      <c r="D10" s="4" t="n">
        <v>88299.68000000015</v>
      </c>
      <c r="E10" s="3" t="inlineStr">
        <is>
          <t>HxA/AVDF</t>
        </is>
      </c>
      <c r="F10" s="3" t="inlineStr">
        <is>
          <t>Not included in October reimbursement request</t>
        </is>
      </c>
    </row>
    <row r="11">
      <c r="A11" s="2" t="n">
        <v>45932</v>
      </c>
      <c r="B11" s="3" t="inlineStr">
        <is>
          <t>GOOGLE*CLOUD CCNBW5, CC GOOGLE.COM, CA</t>
        </is>
      </c>
      <c r="C11" s="4" t="n">
        <v>-0.01</v>
      </c>
      <c r="D11" s="4" t="n">
        <v>89200.12000000016</v>
      </c>
      <c r="E11" s="3" t="inlineStr">
        <is>
          <t>Ben Delo</t>
        </is>
      </c>
      <c r="F11" s="3" t="inlineStr">
        <is>
          <t>Infrastructure</t>
        </is>
      </c>
    </row>
    <row r="12">
      <c r="A12" s="2" t="n">
        <v>45932</v>
      </c>
      <c r="B12" s="3" t="inlineStr">
        <is>
          <t>GOOGLE *GSUITE_swaybet, 650-253-0000, CA</t>
        </is>
      </c>
      <c r="C12" s="4" t="n">
        <v>-22.47</v>
      </c>
      <c r="D12" s="5" t="n">
        <v>89177.65000000015</v>
      </c>
      <c r="E12" s="3" t="inlineStr">
        <is>
          <t>HxA/AVDF</t>
        </is>
      </c>
      <c r="F12" s="3" t="inlineStr">
        <is>
          <t>Infrastructure - Miscellaneous (email/workspace)</t>
        </is>
      </c>
    </row>
    <row r="13">
      <c r="A13" s="2" t="n">
        <v>45932</v>
      </c>
      <c r="B13" s="3" t="inlineStr">
        <is>
          <t>GOOGLE *CLOUD 3vKNVH, 650-253-0000, CA</t>
        </is>
      </c>
      <c r="C13" s="4" t="n">
        <v>-867.92</v>
      </c>
      <c r="D13" s="4" t="n">
        <v>88309.73000000016</v>
      </c>
      <c r="E13" s="3" t="inlineStr">
        <is>
          <t>HxA/AVDF</t>
        </is>
      </c>
      <c r="F13" s="3" t="inlineStr">
        <is>
          <t>Infrastructure - Server costs (GKE)</t>
        </is>
      </c>
    </row>
    <row r="14">
      <c r="A14" s="2" t="n">
        <v>45931</v>
      </c>
      <c r="B14" s="3" t="inlineStr">
        <is>
          <t>Interest earned in September 2025</t>
        </is>
      </c>
      <c r="C14" s="4" t="n">
        <v>284.55</v>
      </c>
      <c r="D14" s="4" t="n">
        <v>88149.70000000014</v>
      </c>
      <c r="E14" s="3" t="n"/>
      <c r="F14" s="3" t="n"/>
    </row>
    <row r="15">
      <c r="A15" s="2" t="n">
        <v>45931</v>
      </c>
      <c r="B15" s="3" t="inlineStr">
        <is>
          <t>GOOGLE *Google One, 650-253-0000, CA</t>
        </is>
      </c>
      <c r="C15" s="4" t="n">
        <v>-21.39</v>
      </c>
      <c r="D15" s="4" t="n">
        <v>88128.31000000014</v>
      </c>
      <c r="E15" s="3" t="inlineStr">
        <is>
          <t>Ben Delo</t>
        </is>
      </c>
      <c r="F15" s="3" t="inlineStr">
        <is>
          <t>Cloud storage/AI subscription</t>
        </is>
      </c>
    </row>
    <row r="16">
      <c r="A16" s="2" t="n">
        <v>45931</v>
      </c>
      <c r="B16" s="3" t="inlineStr">
        <is>
          <t>TWILIO INC, SAN FRANCISCO, CA</t>
        </is>
      </c>
      <c r="C16" s="4" t="n">
        <v>-10</v>
      </c>
      <c r="D16" s="5" t="n">
        <v>88118.31000000014</v>
      </c>
      <c r="E16" s="3" t="inlineStr">
        <is>
          <t>HxA/AVDF</t>
        </is>
      </c>
      <c r="F16" s="3" t="inlineStr">
        <is>
          <t>Not included in October reimbursement request</t>
        </is>
      </c>
    </row>
    <row r="17">
      <c r="A17" s="2" t="n">
        <v>45931</v>
      </c>
      <c r="B17" s="3" t="inlineStr">
        <is>
          <t>ALLY BANK, P2P , SIMON CULLEN</t>
        </is>
      </c>
      <c r="C17" s="4" t="n">
        <v>1081.82</v>
      </c>
      <c r="D17" s="5" t="n">
        <v>89200.13000000015</v>
      </c>
      <c r="E17" s="3" t="inlineStr">
        <is>
          <t>N/A</t>
        </is>
      </c>
      <c r="F17" s="3" t="inlineStr">
        <is>
          <t>Repayment of inadvertent charge to Simon Cullen's health insurance (see 6/16/2025)</t>
        </is>
      </c>
    </row>
    <row r="18">
      <c r="A18" s="2" t="n">
        <v>45930</v>
      </c>
      <c r="B18" s="3" t="inlineStr">
        <is>
          <t>UPWORK * -851118015, SAN FRANCISCO, CA</t>
        </is>
      </c>
      <c r="C18" s="4" t="n">
        <v>-1948.93</v>
      </c>
      <c r="D18" s="4" t="n">
        <v>88181.05000000013</v>
      </c>
      <c r="E18" s="3" t="inlineStr">
        <is>
          <t>HxA/AVDF</t>
        </is>
      </c>
      <c r="F18" s="3" t="inlineStr">
        <is>
          <t>Development costs</t>
        </is>
      </c>
    </row>
    <row r="19">
      <c r="A19" s="2" t="n">
        <v>45930</v>
      </c>
      <c r="B19" s="3" t="inlineStr">
        <is>
          <t>UPWORK * -851257804, SAN FRANCISCO, CA</t>
        </is>
      </c>
      <c r="C19" s="4" t="n">
        <v>-315.9</v>
      </c>
      <c r="D19" s="5" t="n">
        <v>87865.15000000014</v>
      </c>
      <c r="E19" s="3" t="inlineStr">
        <is>
          <t>HxA/AVDF</t>
        </is>
      </c>
      <c r="F19" s="3" t="inlineStr">
        <is>
          <t>Development costs</t>
        </is>
      </c>
    </row>
    <row r="20">
      <c r="A20" s="2" t="n">
        <v>45929</v>
      </c>
      <c r="B20" s="3" t="inlineStr">
        <is>
          <t>TWILIO INC, SAN FRANCISCO, CA</t>
        </is>
      </c>
      <c r="C20" s="4" t="n">
        <v>-10.01</v>
      </c>
      <c r="D20" s="4" t="n">
        <v>90129.98000000013</v>
      </c>
      <c r="E20" s="3" t="inlineStr">
        <is>
          <t>HxA/AVDF</t>
        </is>
      </c>
      <c r="F20" s="3" t="inlineStr">
        <is>
          <t>Infrastructure - Miscellaneous (SMS/notifications)</t>
        </is>
      </c>
    </row>
    <row r="21">
      <c r="A21" s="2" t="n">
        <v>45928</v>
      </c>
      <c r="B21" s="3" t="inlineStr">
        <is>
          <t>LYFT *TEMP AUTH HOLD, SAN FRANCISCO, CA</t>
        </is>
      </c>
      <c r="C21" s="4" t="n">
        <v>-53.62</v>
      </c>
      <c r="D21" s="4" t="n">
        <v>90139.99000000012</v>
      </c>
      <c r="E21" s="3" t="inlineStr">
        <is>
          <t>Snider</t>
        </is>
      </c>
      <c r="F21" s="3" t="n"/>
    </row>
    <row r="22">
      <c r="A22" s="2" t="n">
        <v>45927</v>
      </c>
      <c r="B22" s="3" t="inlineStr">
        <is>
          <t>TWILIO INC, SAN FRANCISCO, CA</t>
        </is>
      </c>
      <c r="C22" s="4" t="n">
        <v>-10.01</v>
      </c>
      <c r="D22" s="4" t="n">
        <v>90193.61000000012</v>
      </c>
      <c r="E22" s="3" t="inlineStr">
        <is>
          <t>HxA/AVDF</t>
        </is>
      </c>
      <c r="F22" s="3" t="inlineStr">
        <is>
          <t>Infrastructure - Miscellaneous (SMS/notifications)</t>
        </is>
      </c>
    </row>
    <row r="23">
      <c r="A23" s="2" t="n">
        <v>45925</v>
      </c>
      <c r="B23" s="3" t="inlineStr">
        <is>
          <t>SENTRY, SAN FRANCISCO, CA</t>
        </is>
      </c>
      <c r="C23" s="4" t="n">
        <v>-41.73</v>
      </c>
      <c r="D23" s="4" t="n">
        <v>90340.2300000001</v>
      </c>
      <c r="E23" s="3" t="inlineStr">
        <is>
          <t>HxA/AVDF</t>
        </is>
      </c>
      <c r="F23" s="3" t="inlineStr">
        <is>
          <t>Infrastructure - Miscellaneous (error tracking)</t>
        </is>
      </c>
    </row>
    <row r="24">
      <c r="A24" s="2" t="n">
        <v>45925</v>
      </c>
      <c r="B24" s="3" t="inlineStr">
        <is>
          <t>TWILIO INC, SAN FRANCISCO, CA</t>
        </is>
      </c>
      <c r="C24" s="4" t="n">
        <v>-10.01</v>
      </c>
      <c r="D24" s="5" t="n">
        <v>90330.2200000001</v>
      </c>
      <c r="E24" s="3" t="inlineStr">
        <is>
          <t>HxA/AVDF</t>
        </is>
      </c>
      <c r="F24" s="3" t="inlineStr">
        <is>
          <t>Infrastructure - Miscellaneous (SMS/notifications)</t>
        </is>
      </c>
    </row>
    <row r="25">
      <c r="A25" s="2" t="n">
        <v>45925</v>
      </c>
      <c r="B25" s="3" t="inlineStr">
        <is>
          <t>CHATBASE, TORONTO, ON</t>
        </is>
      </c>
      <c r="C25" s="4" t="n">
        <v>-40</v>
      </c>
      <c r="D25" s="4" t="n">
        <v>90290.2200000001</v>
      </c>
      <c r="E25" s="3" t="inlineStr">
        <is>
          <t>HxA/AVDF</t>
        </is>
      </c>
      <c r="F25" s="3" t="inlineStr">
        <is>
          <t>Infrastructure - Miscellaneous (support bot)</t>
        </is>
      </c>
    </row>
    <row r="26">
      <c r="A26" s="2" t="n">
        <v>45925</v>
      </c>
      <c r="B26" s="3" t="inlineStr">
        <is>
          <t>UBR* PENDING.UBER.COM, SAN FRANCISCO, CA</t>
        </is>
      </c>
      <c r="C26" s="4" t="n">
        <v>-22.76</v>
      </c>
      <c r="D26" s="5" t="n">
        <v>90267.46000000011</v>
      </c>
      <c r="E26" s="3" t="inlineStr">
        <is>
          <t>Snider</t>
        </is>
      </c>
      <c r="F26" s="3" t="n"/>
    </row>
    <row r="27">
      <c r="A27" s="2" t="n">
        <v>45925</v>
      </c>
      <c r="B27" s="3" t="inlineStr">
        <is>
          <t>UBER *TRIP, SAN FRANCISCO, CA</t>
        </is>
      </c>
      <c r="C27" s="4" t="n">
        <v>-63.84</v>
      </c>
      <c r="D27" s="5" t="n">
        <v>90203.62000000011</v>
      </c>
      <c r="E27" s="3" t="inlineStr">
        <is>
          <t>Snider</t>
        </is>
      </c>
      <c r="F27" s="3" t="n"/>
    </row>
    <row r="28">
      <c r="A28" s="2" t="n">
        <v>45924</v>
      </c>
      <c r="B28" s="3" t="inlineStr">
        <is>
          <t>ALLY BANK, ACCTVERIFY, 14940880059</t>
        </is>
      </c>
      <c r="C28" s="4" t="n">
        <v>-0.71</v>
      </c>
      <c r="D28" s="4" t="n">
        <v>90381.25000000009</v>
      </c>
      <c r="E28" s="3" t="inlineStr">
        <is>
          <t>N/A</t>
        </is>
      </c>
      <c r="F28" s="3" t="inlineStr">
        <is>
          <t>Bank verification</t>
        </is>
      </c>
    </row>
    <row r="29">
      <c r="A29" s="2" t="n">
        <v>45924</v>
      </c>
      <c r="B29" s="3" t="inlineStr">
        <is>
          <t>ALLY BANK, ACCTVERIFY</t>
        </is>
      </c>
      <c r="C29" s="4" t="n">
        <v>0.38</v>
      </c>
      <c r="D29" s="5" t="n">
        <v>90381.63000000009</v>
      </c>
      <c r="E29" s="3" t="inlineStr">
        <is>
          <t>N/A</t>
        </is>
      </c>
      <c r="F29" s="3" t="inlineStr">
        <is>
          <t>Bank verification</t>
        </is>
      </c>
    </row>
    <row r="30">
      <c r="A30" s="2" t="n">
        <v>45924</v>
      </c>
      <c r="B30" s="3" t="inlineStr">
        <is>
          <t>ALLY BANK, ACCTVERIFY</t>
        </is>
      </c>
      <c r="C30" s="4" t="n">
        <v>0.33</v>
      </c>
      <c r="D30" s="5" t="n">
        <v>90381.96000000009</v>
      </c>
      <c r="E30" s="3" t="inlineStr">
        <is>
          <t>N/A</t>
        </is>
      </c>
      <c r="F30" s="3" t="inlineStr">
        <is>
          <t>Bank verification</t>
        </is>
      </c>
    </row>
    <row r="31">
      <c r="A31" s="2" t="n">
        <v>45923</v>
      </c>
      <c r="B31" s="3" t="inlineStr">
        <is>
          <t>UPWORK * -849030767, SAN FRANCISCO, CA</t>
        </is>
      </c>
      <c r="C31" s="4" t="n">
        <v>-284.31</v>
      </c>
      <c r="D31" s="5" t="n">
        <v>93003.07000000009</v>
      </c>
      <c r="E31" s="3" t="inlineStr">
        <is>
          <t>Tools</t>
        </is>
      </c>
      <c r="F31" s="3" t="inlineStr">
        <is>
          <t>Instructor Insights Development</t>
        </is>
      </c>
    </row>
    <row r="32">
      <c r="A32" s="2" t="n">
        <v>45923</v>
      </c>
      <c r="B32" s="3" t="inlineStr">
        <is>
          <t>UPWORK * -848892068, SAN FRANCISCO, CA</t>
        </is>
      </c>
      <c r="C32" s="4" t="n">
        <v>-2621.11</v>
      </c>
      <c r="D32" s="4" t="n">
        <v>90381.96000000009</v>
      </c>
      <c r="E32" s="3" t="inlineStr">
        <is>
          <t>HxA/AVDF</t>
        </is>
      </c>
      <c r="F32" s="3" t="inlineStr">
        <is>
          <t>Development costs</t>
        </is>
      </c>
    </row>
    <row r="33">
      <c r="A33" s="2" t="n">
        <v>45922</v>
      </c>
      <c r="B33" s="3" t="inlineStr">
        <is>
          <t>TWILIO INC, SAN FRANCISCO, CA</t>
        </is>
      </c>
      <c r="C33" s="4" t="n">
        <v>-10.79</v>
      </c>
      <c r="D33" s="4" t="n">
        <v>93307.71000000009</v>
      </c>
      <c r="E33" s="3" t="inlineStr">
        <is>
          <t>HxA/AVDF</t>
        </is>
      </c>
      <c r="F33" s="3" t="inlineStr">
        <is>
          <t>Infrastructure - Miscellaneous (SMS/notifications)</t>
        </is>
      </c>
    </row>
    <row r="34">
      <c r="A34" s="2" t="n">
        <v>45922</v>
      </c>
      <c r="B34" s="3" t="inlineStr">
        <is>
          <t>BILL.COM LLC, BILLING</t>
        </is>
      </c>
      <c r="C34" s="4" t="n">
        <v>-20.33</v>
      </c>
      <c r="D34" s="4" t="n">
        <v>93287.38000000009</v>
      </c>
      <c r="E34" s="3" t="inlineStr">
        <is>
          <t>Ben Delo</t>
        </is>
      </c>
      <c r="F34" s="3" t="inlineStr">
        <is>
          <t>Payment processing fees</t>
        </is>
      </c>
    </row>
    <row r="35">
      <c r="A35" s="2" t="n">
        <v>45921</v>
      </c>
      <c r="B35" s="3" t="inlineStr">
        <is>
          <t>Google Play, Mountain View, CA</t>
        </is>
      </c>
      <c r="C35" s="4" t="n">
        <v>-25</v>
      </c>
      <c r="D35" s="4" t="n">
        <v>93349.93000000008</v>
      </c>
      <c r="E35" s="3" t="inlineStr">
        <is>
          <t>HxA/AVDF</t>
        </is>
      </c>
      <c r="F35" s="3" t="inlineStr">
        <is>
          <t>Development costs</t>
        </is>
      </c>
    </row>
    <row r="36">
      <c r="A36" s="2" t="n">
        <v>45921</v>
      </c>
      <c r="B36" s="3" t="inlineStr">
        <is>
          <t>CURSOR, AI POWERED IDE, NEW YORK, NY</t>
        </is>
      </c>
      <c r="C36" s="4" t="n">
        <v>-21.4</v>
      </c>
      <c r="D36" s="4" t="n">
        <v>93328.53000000009</v>
      </c>
      <c r="E36" s="3" t="inlineStr">
        <is>
          <t>HxA/AVDF</t>
        </is>
      </c>
      <c r="F36" s="3" t="inlineStr">
        <is>
          <t>Development costs</t>
        </is>
      </c>
    </row>
    <row r="37">
      <c r="A37" s="2" t="n">
        <v>45921</v>
      </c>
      <c r="B37" s="3" t="inlineStr">
        <is>
          <t>TWILIO INC, SAN FRANCISCO, CA</t>
        </is>
      </c>
      <c r="C37" s="4" t="n">
        <v>-10.03</v>
      </c>
      <c r="D37" s="5" t="n">
        <v>93318.50000000009</v>
      </c>
      <c r="E37" s="3" t="inlineStr">
        <is>
          <t>HxA/AVDF</t>
        </is>
      </c>
      <c r="F37" s="3" t="inlineStr">
        <is>
          <t>Infrastructure - Miscellaneous (SMS/notifications)</t>
        </is>
      </c>
    </row>
    <row r="38">
      <c r="A38" s="2" t="n">
        <v>45920</v>
      </c>
      <c r="B38" s="3" t="inlineStr">
        <is>
          <t>TWINR INC., VAUDREUIL-DOR, QC</t>
        </is>
      </c>
      <c r="C38" s="4" t="n">
        <v>-2</v>
      </c>
      <c r="D38" s="4" t="n">
        <v>93443.43000000008</v>
      </c>
      <c r="E38" s="3" t="inlineStr">
        <is>
          <t>HxA/AVDF</t>
        </is>
      </c>
      <c r="F38" s="3" t="inlineStr">
        <is>
          <t>Development costs</t>
        </is>
      </c>
    </row>
    <row r="39">
      <c r="A39" s="2" t="n">
        <v>45920</v>
      </c>
      <c r="B39" s="3" t="inlineStr">
        <is>
          <t>TWINR INC., VAUDREUIL-DOR, QC</t>
        </is>
      </c>
      <c r="C39" s="4" t="n">
        <v>-68.5</v>
      </c>
      <c r="D39" s="5" t="n">
        <v>93374.93000000008</v>
      </c>
      <c r="E39" s="3" t="inlineStr">
        <is>
          <t>HxA/AVDF</t>
        </is>
      </c>
      <c r="F39" s="3" t="inlineStr">
        <is>
          <t>Development costs</t>
        </is>
      </c>
    </row>
    <row r="40">
      <c r="A40" s="2" t="n">
        <v>45919</v>
      </c>
      <c r="B40" s="3" t="inlineStr">
        <is>
          <t>TWILIO INC, SAN FRANCISCO, CA</t>
        </is>
      </c>
      <c r="C40" s="4" t="n">
        <v>-10.09</v>
      </c>
      <c r="D40" s="4" t="n">
        <v>93532.83000000007</v>
      </c>
      <c r="E40" s="3" t="inlineStr">
        <is>
          <t>HxA/AVDF</t>
        </is>
      </c>
      <c r="F40" s="3" t="inlineStr">
        <is>
          <t>Infrastructure - Miscellaneous (SMS/notifications)</t>
        </is>
      </c>
    </row>
    <row r="41">
      <c r="A41" s="2" t="n">
        <v>45919</v>
      </c>
      <c r="B41" s="3" t="inlineStr">
        <is>
          <t>UBR* PENDING.UBER.COM, SAN FRANCISCO, CA</t>
        </is>
      </c>
      <c r="C41" s="4" t="n">
        <v>-87.40000000000001</v>
      </c>
      <c r="D41" s="4" t="n">
        <v>93445.43000000008</v>
      </c>
      <c r="E41" s="3" t="inlineStr">
        <is>
          <t>Snider</t>
        </is>
      </c>
      <c r="F41" s="3" t="n"/>
    </row>
    <row r="42">
      <c r="A42" s="2" t="n">
        <v>45918</v>
      </c>
      <c r="B42" s="3" t="inlineStr">
        <is>
          <t>BLOCKED AND REPORTED, BREMERTON, WA</t>
        </is>
      </c>
      <c r="C42" s="4" t="n">
        <v>-75</v>
      </c>
      <c r="D42" s="4" t="n">
        <v>93542.92000000007</v>
      </c>
      <c r="E42" s="3" t="inlineStr">
        <is>
          <t>Ben Delo</t>
        </is>
      </c>
      <c r="F42" s="3" t="inlineStr">
        <is>
          <t>Subscription</t>
        </is>
      </c>
    </row>
    <row r="43">
      <c r="A43" s="2" t="n">
        <v>45917</v>
      </c>
      <c r="B43" s="3" t="inlineStr">
        <is>
          <t>TWILIO INC, SAN FRANCISCO, CA</t>
        </is>
      </c>
      <c r="C43" s="4" t="n">
        <v>-10</v>
      </c>
      <c r="D43" s="4" t="n">
        <v>93617.92000000007</v>
      </c>
      <c r="E43" s="3" t="inlineStr">
        <is>
          <t>HxA/AVDF</t>
        </is>
      </c>
      <c r="F43" s="3" t="inlineStr">
        <is>
          <t>Infrastructure - Miscellaneous (SMS/notifications)</t>
        </is>
      </c>
    </row>
    <row r="44">
      <c r="A44" s="2" t="n">
        <v>45916</v>
      </c>
      <c r="B44" s="3" t="inlineStr">
        <is>
          <t>UPWORK * -846691498, SAN FRANCISCO, CA</t>
        </is>
      </c>
      <c r="C44" s="4" t="n">
        <v>-2568.46</v>
      </c>
      <c r="D44" s="4" t="n">
        <v>93203.72000000007</v>
      </c>
      <c r="E44" s="3" t="inlineStr">
        <is>
          <t>Tools</t>
        </is>
      </c>
      <c r="F44" s="3" t="inlineStr">
        <is>
          <t>Instructor Insights Development</t>
        </is>
      </c>
    </row>
    <row r="45">
      <c r="A45" s="2" t="n">
        <v>45916</v>
      </c>
      <c r="B45" s="3" t="inlineStr">
        <is>
          <t>GUSTO, TLR 562239</t>
        </is>
      </c>
      <c r="C45" s="4" t="n">
        <v>424.2</v>
      </c>
      <c r="D45" s="4" t="n">
        <v>93627.92000000007</v>
      </c>
      <c r="E45" s="3" t="inlineStr">
        <is>
          <t>Snider</t>
        </is>
      </c>
      <c r="F45" s="3" t="inlineStr">
        <is>
          <t>Payroll tax refund upon account deactivation (since DW no longer paying any salaries directly)</t>
        </is>
      </c>
    </row>
    <row r="46">
      <c r="A46" s="2" t="n">
        <v>45915</v>
      </c>
      <c r="B46" s="3" t="inlineStr">
        <is>
          <t>AMAZON MKTPLACE PMTS, Amzn.com/bill, WA</t>
        </is>
      </c>
      <c r="C46" s="4" t="n">
        <v>-42.25</v>
      </c>
      <c r="D46" s="4" t="n">
        <v>95889.80000000009</v>
      </c>
      <c r="E46" s="3" t="inlineStr">
        <is>
          <t>Snider</t>
        </is>
      </c>
      <c r="F46" s="3" t="inlineStr">
        <is>
          <t>Office supplies</t>
        </is>
      </c>
    </row>
    <row r="47">
      <c r="A47" s="2" t="n">
        <v>45915</v>
      </c>
      <c r="B47" s="3" t="inlineStr">
        <is>
          <t>APPLE.COM/BILL, 866-712-7753, CA</t>
        </is>
      </c>
      <c r="C47" s="4" t="n">
        <v>-107.6</v>
      </c>
      <c r="D47" s="5" t="n">
        <v>95782.20000000008</v>
      </c>
      <c r="E47" s="3" t="inlineStr">
        <is>
          <t>HxA/AVDF</t>
        </is>
      </c>
      <c r="F47" s="3" t="inlineStr">
        <is>
          <t>Development costs</t>
        </is>
      </c>
    </row>
    <row r="48">
      <c r="A48" s="2" t="n">
        <v>45915</v>
      </c>
      <c r="B48" s="3" t="inlineStr">
        <is>
          <t>TWILIO INC, SAN FRANCISCO, CA</t>
        </is>
      </c>
      <c r="C48" s="4" t="n">
        <v>-10.02</v>
      </c>
      <c r="D48" s="4" t="n">
        <v>95772.18000000008</v>
      </c>
      <c r="E48" s="3" t="inlineStr">
        <is>
          <t>HxA/AVDF</t>
        </is>
      </c>
      <c r="F48" s="3" t="inlineStr">
        <is>
          <t>Infrastructure - Miscellaneous (SMS/notifications)</t>
        </is>
      </c>
    </row>
    <row r="49">
      <c r="A49" s="2" t="n">
        <v>45913</v>
      </c>
      <c r="B49" s="3" t="inlineStr">
        <is>
          <t>TWILIO INC, SAN FRANCISCO, CA</t>
        </is>
      </c>
      <c r="C49" s="4" t="n">
        <v>-10.12</v>
      </c>
      <c r="D49" s="4" t="n">
        <v>96298.0100000001</v>
      </c>
      <c r="E49" s="3" t="inlineStr">
        <is>
          <t>HxA/AVDF</t>
        </is>
      </c>
      <c r="F49" s="3" t="inlineStr">
        <is>
          <t>Infrastructure - Miscellaneous (SMS/notifications)</t>
        </is>
      </c>
    </row>
    <row r="50">
      <c r="A50" s="2" t="n">
        <v>45913</v>
      </c>
      <c r="B50" s="3" t="inlineStr">
        <is>
          <t>DELTA INTERNET DELTA.C, ATLANTA, GA</t>
        </is>
      </c>
      <c r="C50" s="4" t="n">
        <v>-464.96</v>
      </c>
      <c r="D50" s="4" t="n">
        <v>95833.05000000009</v>
      </c>
      <c r="E50" s="3" t="inlineStr">
        <is>
          <t>Snider</t>
        </is>
      </c>
      <c r="F50" s="3" t="n"/>
    </row>
    <row r="51">
      <c r="A51" s="2" t="n">
        <v>45913</v>
      </c>
      <c r="B51" s="3" t="inlineStr">
        <is>
          <t xml:space="preserve">AMAZON MKTPLACE PMTS   Amzn.com/bill WA </t>
        </is>
      </c>
      <c r="C51" s="4" t="n">
        <v>99</v>
      </c>
      <c r="D51" s="5" t="n">
        <v>95932.05000000009</v>
      </c>
      <c r="E51" s="3" t="inlineStr">
        <is>
          <t>N/A</t>
        </is>
      </c>
      <c r="F51" s="3" t="inlineStr">
        <is>
          <t>Refund of incorrect charge on 8/28/2025</t>
        </is>
      </c>
    </row>
    <row r="52">
      <c r="A52" s="2" t="n">
        <v>45912</v>
      </c>
      <c r="B52" s="3" t="inlineStr">
        <is>
          <t>TWILIO INC, SAN FRANCISCO, CA</t>
        </is>
      </c>
      <c r="C52" s="4" t="n">
        <v>-10.01</v>
      </c>
      <c r="D52" s="4" t="n">
        <v>96308.13000000009</v>
      </c>
      <c r="E52" s="3" t="inlineStr">
        <is>
          <t>HxA/AVDF</t>
        </is>
      </c>
      <c r="F52" s="3" t="inlineStr">
        <is>
          <t>Infrastructure - Miscellaneous (SMS/notifications)</t>
        </is>
      </c>
    </row>
    <row r="53">
      <c r="A53" s="2" t="n">
        <v>45910</v>
      </c>
      <c r="B53" s="3" t="inlineStr">
        <is>
          <t>UPWORK * -844873181, SAN FRANCISCO, CA</t>
        </is>
      </c>
      <c r="C53" s="4" t="n">
        <v>-1807.31</v>
      </c>
      <c r="D53" s="4" t="n">
        <v>97134.74000000008</v>
      </c>
      <c r="E53" s="3" t="inlineStr">
        <is>
          <t>Tools</t>
        </is>
      </c>
      <c r="F53" s="3" t="inlineStr">
        <is>
          <t>Instructor Insights Development</t>
        </is>
      </c>
    </row>
    <row r="54">
      <c r="A54" s="2" t="n">
        <v>45910</v>
      </c>
      <c r="B54" s="3" t="inlineStr">
        <is>
          <t>Amazon.com, Amzn.com/bill, WA</t>
        </is>
      </c>
      <c r="C54" s="4" t="n">
        <v>-108.65</v>
      </c>
      <c r="D54" s="4" t="n">
        <v>97026.09000000008</v>
      </c>
      <c r="E54" s="3" t="inlineStr">
        <is>
          <t>Ben Delo</t>
        </is>
      </c>
      <c r="F54" s="3" t="inlineStr">
        <is>
          <t>Office supplies</t>
        </is>
      </c>
    </row>
    <row r="55">
      <c r="A55" s="2" t="n">
        <v>45910</v>
      </c>
      <c r="B55" s="3" t="inlineStr">
        <is>
          <t>AMAZON MKTPLACE PMTS, Amzn.com/bill, WA</t>
        </is>
      </c>
      <c r="C55" s="4" t="n">
        <v>-146.99</v>
      </c>
      <c r="D55" s="5" t="n">
        <v>96879.10000000008</v>
      </c>
      <c r="E55" s="3" t="inlineStr">
        <is>
          <t>Snider</t>
        </is>
      </c>
      <c r="F55" s="3" t="inlineStr">
        <is>
          <t>Office supplies</t>
        </is>
      </c>
    </row>
    <row r="56">
      <c r="A56" s="2" t="n">
        <v>45910</v>
      </c>
      <c r="B56" s="3" t="inlineStr">
        <is>
          <t>OPENAI, SAN FRANCISCO, CA</t>
        </is>
      </c>
      <c r="C56" s="4" t="n">
        <v>-150.03</v>
      </c>
      <c r="D56" s="5" t="n">
        <v>96729.07000000008</v>
      </c>
      <c r="E56" s="3" t="inlineStr">
        <is>
          <t>HxA/AVDF</t>
        </is>
      </c>
      <c r="F56" s="3" t="inlineStr">
        <is>
          <t>Infrastructure - AI costs (OpenAI API)</t>
        </is>
      </c>
    </row>
    <row r="57">
      <c r="A57" s="2" t="n">
        <v>45910</v>
      </c>
      <c r="B57" s="3" t="inlineStr">
        <is>
          <t>ANTHROPIC, SAN FRANCISCO, CA</t>
        </is>
      </c>
      <c r="C57" s="4" t="n">
        <v>-400.23</v>
      </c>
      <c r="D57" s="5" t="n">
        <v>96328.84000000008</v>
      </c>
      <c r="E57" s="3" t="inlineStr">
        <is>
          <t>HxA/AVDF</t>
        </is>
      </c>
      <c r="F57" s="3" t="inlineStr">
        <is>
          <t>Infrastructure - AI costs (Anthropic API)</t>
        </is>
      </c>
    </row>
    <row r="58">
      <c r="A58" s="2" t="n">
        <v>45910</v>
      </c>
      <c r="B58" s="3" t="inlineStr">
        <is>
          <t>CURSOR USAGE AUG, NEW YORK, NY</t>
        </is>
      </c>
      <c r="C58" s="4" t="n">
        <v>-10.7</v>
      </c>
      <c r="D58" s="5" t="n">
        <v>96318.14000000009</v>
      </c>
      <c r="E58" s="3" t="inlineStr">
        <is>
          <t>HxA/AVDF</t>
        </is>
      </c>
      <c r="F58" s="3" t="inlineStr">
        <is>
          <t>Development costs</t>
        </is>
      </c>
    </row>
    <row r="59">
      <c r="A59" s="2" t="n">
        <v>45909</v>
      </c>
      <c r="B59" s="3" t="inlineStr">
        <is>
          <t>UPWORK * -844504240, SAN FRANCISCO, CA</t>
        </is>
      </c>
      <c r="C59" s="4" t="n">
        <v>-1974.38</v>
      </c>
      <c r="D59" s="4" t="n">
        <v>98989.09000000007</v>
      </c>
      <c r="E59" s="3" t="inlineStr">
        <is>
          <t>Tools</t>
        </is>
      </c>
      <c r="F59" s="3" t="inlineStr">
        <is>
          <t>Instructor Insights Development</t>
        </is>
      </c>
    </row>
    <row r="60">
      <c r="A60" s="2" t="n">
        <v>45909</v>
      </c>
      <c r="B60" s="3" t="inlineStr">
        <is>
          <t>TWILIO INC, SAN FRANCISCO, CA</t>
        </is>
      </c>
      <c r="C60" s="4" t="n">
        <v>-10.04</v>
      </c>
      <c r="D60" s="5" t="n">
        <v>98979.05000000008</v>
      </c>
      <c r="E60" s="3" t="inlineStr">
        <is>
          <t>HxA/AVDF</t>
        </is>
      </c>
      <c r="F60" s="3" t="inlineStr">
        <is>
          <t>Infrastructure - Miscellaneous (SMS/notifications)</t>
        </is>
      </c>
    </row>
    <row r="61">
      <c r="A61" s="2" t="n">
        <v>45909</v>
      </c>
      <c r="B61" s="3" t="inlineStr">
        <is>
          <t>OPENAI *CHATGPT SUBSCR, SAN FRANCISCO, CA</t>
        </is>
      </c>
      <c r="C61" s="4" t="n">
        <v>-20</v>
      </c>
      <c r="D61" s="5" t="n">
        <v>98959.05000000008</v>
      </c>
      <c r="E61" s="3" t="inlineStr">
        <is>
          <t>HxA/AVDF</t>
        </is>
      </c>
      <c r="F61" s="3" t="inlineStr">
        <is>
          <t>Development costs - Research tool</t>
        </is>
      </c>
    </row>
    <row r="62">
      <c r="A62" s="2" t="n">
        <v>45909</v>
      </c>
      <c r="B62" s="3" t="inlineStr">
        <is>
          <t>HEROKU* AUG-107582724, SAN FRANCISCO, CA</t>
        </is>
      </c>
      <c r="C62" s="4" t="n">
        <v>-17</v>
      </c>
      <c r="D62" s="4" t="n">
        <v>98942.05000000008</v>
      </c>
      <c r="E62" s="3" t="inlineStr">
        <is>
          <t>HxA/AVDF</t>
        </is>
      </c>
      <c r="F62" s="3" t="inlineStr">
        <is>
          <t>Infrastructure - Server costs</t>
        </is>
      </c>
    </row>
    <row r="63">
      <c r="A63" s="2" t="n">
        <v>45907</v>
      </c>
      <c r="B63" s="3" t="inlineStr">
        <is>
          <t>OPENAI *CHATGPT SUBSCR, SAN FRANCISCO, CA</t>
        </is>
      </c>
      <c r="C63" s="4" t="n">
        <v>-21.2</v>
      </c>
      <c r="D63" s="4" t="n">
        <v>100963.4700000001</v>
      </c>
      <c r="E63" s="3" t="inlineStr">
        <is>
          <t>HxA/AVDF</t>
        </is>
      </c>
      <c r="F63" s="3" t="inlineStr">
        <is>
          <t>Development costs - Research tool</t>
        </is>
      </c>
    </row>
    <row r="64">
      <c r="A64" s="2" t="n">
        <v>45906</v>
      </c>
      <c r="B64" s="3" t="inlineStr">
        <is>
          <t>TWILIO INC, SAN FRANCISCO, CA</t>
        </is>
      </c>
      <c r="C64" s="4" t="n">
        <v>-11.56</v>
      </c>
      <c r="D64" s="4" t="n">
        <v>100984.6700000001</v>
      </c>
      <c r="E64" s="3" t="inlineStr">
        <is>
          <t>HxA/AVDF</t>
        </is>
      </c>
      <c r="F64" s="3" t="inlineStr">
        <is>
          <t>Infrastructure - Miscellaneous (SMS/notifications)</t>
        </is>
      </c>
    </row>
    <row r="65">
      <c r="A65" s="2" t="n">
        <v>45905</v>
      </c>
      <c r="B65" s="3" t="inlineStr">
        <is>
          <t>Upwork -843074981REF, Upwork.com/bi, CA</t>
        </is>
      </c>
      <c r="C65" s="4" t="n">
        <v>-340.12</v>
      </c>
      <c r="D65" s="4" t="n">
        <v>100996.2300000001</v>
      </c>
      <c r="E65" s="3" t="inlineStr">
        <is>
          <t>HxA/AVDF</t>
        </is>
      </c>
      <c r="F65" s="3" t="inlineStr">
        <is>
          <t>Development costs</t>
        </is>
      </c>
    </row>
    <row r="66">
      <c r="A66" s="2" t="n">
        <v>45904</v>
      </c>
      <c r="B66" s="3" t="inlineStr">
        <is>
          <t>TWILIO SENDGRID, SAN FRANCISCO, CA</t>
        </is>
      </c>
      <c r="C66" s="4" t="n">
        <v>-59.98</v>
      </c>
      <c r="D66" s="4" t="n">
        <v>101391.3500000001</v>
      </c>
      <c r="E66" s="3" t="inlineStr">
        <is>
          <t>HxA/AVDF</t>
        </is>
      </c>
      <c r="F66" s="3" t="inlineStr">
        <is>
          <t>Infrastructure - Miscellaneous (SMS/notifications)</t>
        </is>
      </c>
    </row>
    <row r="67">
      <c r="A67" s="2" t="n">
        <v>45904</v>
      </c>
      <c r="B67" s="3" t="inlineStr">
        <is>
          <t>GUSTO, FEE 091647</t>
        </is>
      </c>
      <c r="C67" s="4" t="n">
        <v>-55</v>
      </c>
      <c r="D67" s="4" t="n">
        <v>101336.3500000001</v>
      </c>
      <c r="E67" s="3" t="inlineStr">
        <is>
          <t>Snider</t>
        </is>
      </c>
      <c r="F67" s="3" t="inlineStr">
        <is>
          <t>Payroll service fee</t>
        </is>
      </c>
    </row>
    <row r="68">
      <c r="A68" s="2" t="n">
        <v>45902</v>
      </c>
      <c r="B68" s="3" t="inlineStr">
        <is>
          <t>GOOGLE *GSUITE_swaybet, 650-253-0000, CA</t>
        </is>
      </c>
      <c r="C68" s="4" t="n">
        <v>-19.26</v>
      </c>
      <c r="D68" s="4" t="n">
        <v>103585.05</v>
      </c>
      <c r="E68" s="3" t="inlineStr">
        <is>
          <t>HxA/AVDF</t>
        </is>
      </c>
      <c r="F68" s="3" t="inlineStr">
        <is>
          <t>Infrastructure - Miscellaneous (email/workspace)</t>
        </is>
      </c>
    </row>
    <row r="69">
      <c r="A69" s="2" t="n">
        <v>45902</v>
      </c>
      <c r="B69" s="3" t="inlineStr">
        <is>
          <t>Upwork -842277294REF, Upwork.com/bi, CA</t>
        </is>
      </c>
      <c r="C69" s="4" t="n">
        <v>-1942.79</v>
      </c>
      <c r="D69" s="5" t="n">
        <v>101642.2600000001</v>
      </c>
      <c r="E69" s="3" t="inlineStr">
        <is>
          <t>HxA/AVDF</t>
        </is>
      </c>
      <c r="F69" s="3" t="inlineStr">
        <is>
          <t>Development costs</t>
        </is>
      </c>
    </row>
    <row r="70">
      <c r="A70" s="2" t="n">
        <v>45902</v>
      </c>
      <c r="B70" s="3" t="inlineStr">
        <is>
          <t>TWILIO INC, SAN FRANCISCO, CA</t>
        </is>
      </c>
      <c r="C70" s="4" t="n">
        <v>-10.34</v>
      </c>
      <c r="D70" s="5" t="n">
        <v>101631.9200000001</v>
      </c>
      <c r="E70" s="3" t="inlineStr">
        <is>
          <t>HxA/AVDF</t>
        </is>
      </c>
      <c r="F70" s="3" t="inlineStr">
        <is>
          <t>Infrastructure - Miscellaneous (SMS/notifications)</t>
        </is>
      </c>
    </row>
    <row r="71">
      <c r="A71" s="2" t="n">
        <v>45902</v>
      </c>
      <c r="B71" s="3" t="inlineStr">
        <is>
          <t>GOOGLE *CLOUD Gz9PW9, 650-253-0000, CA</t>
        </is>
      </c>
      <c r="C71" s="4" t="n">
        <v>-0.01</v>
      </c>
      <c r="D71" s="5" t="n">
        <v>101631.9100000001</v>
      </c>
      <c r="E71" s="3" t="inlineStr">
        <is>
          <t>Ben Delo</t>
        </is>
      </c>
      <c r="F71" s="3" t="inlineStr">
        <is>
          <t>Infrastructure</t>
        </is>
      </c>
    </row>
    <row r="72">
      <c r="A72" s="2" t="n">
        <v>45902</v>
      </c>
      <c r="B72" s="3" t="inlineStr">
        <is>
          <t>GOOGLE *CLOUD DM4Q6H, 650-253-0000, CA</t>
        </is>
      </c>
      <c r="C72" s="4" t="n">
        <v>-180.58</v>
      </c>
      <c r="D72" s="4" t="n">
        <v>101451.3300000001</v>
      </c>
      <c r="E72" s="3" t="inlineStr">
        <is>
          <t>HxA/AVDF</t>
        </is>
      </c>
      <c r="F72" s="3" t="inlineStr">
        <is>
          <t>Infrastructure - Server costs (GKE)</t>
        </is>
      </c>
    </row>
    <row r="73">
      <c r="A73" s="2" t="n">
        <v>45901</v>
      </c>
      <c r="B73" s="3" t="inlineStr">
        <is>
          <t>Interest earned in August 2025</t>
        </is>
      </c>
      <c r="C73" s="4" t="n">
        <v>356.55</v>
      </c>
      <c r="D73" s="4" t="n">
        <v>103604.31</v>
      </c>
      <c r="E73" s="3" t="n"/>
      <c r="F73" s="3" t="n"/>
    </row>
    <row r="74">
      <c r="A74" s="2" t="n">
        <v>45900</v>
      </c>
      <c r="B74" s="3" t="inlineStr">
        <is>
          <t>GOOGLE *Google One, 650-253-0000, CA</t>
        </is>
      </c>
      <c r="C74" s="4" t="n">
        <v>-21.39</v>
      </c>
      <c r="D74" s="4" t="n">
        <v>105236.92</v>
      </c>
      <c r="E74" s="3" t="inlineStr">
        <is>
          <t>Ben Delo</t>
        </is>
      </c>
      <c r="F74" s="3" t="inlineStr">
        <is>
          <t>Cloud storage/AI subscription</t>
        </is>
      </c>
    </row>
    <row r="75">
      <c r="A75" s="2" t="n">
        <v>45900</v>
      </c>
      <c r="B75" s="3" t="inlineStr">
        <is>
          <t>ARTICLE 67899, TACOMA, WA</t>
        </is>
      </c>
      <c r="C75" s="4" t="n">
        <v>-1989.16</v>
      </c>
      <c r="D75" s="4" t="n">
        <v>103247.76</v>
      </c>
      <c r="E75" s="3" t="inlineStr">
        <is>
          <t>Snider</t>
        </is>
      </c>
      <c r="F75" s="3" t="inlineStr">
        <is>
          <t>Office furniture</t>
        </is>
      </c>
    </row>
    <row r="76">
      <c r="A76" s="2" t="n">
        <v>45898</v>
      </c>
      <c r="B76" s="3" t="inlineStr">
        <is>
          <t>PAY* HANDY.COM-AUG29, INDIANAPOLIS, IN</t>
        </is>
      </c>
      <c r="C76" s="4" t="n">
        <v>-117</v>
      </c>
      <c r="D76" s="4" t="n">
        <v>105283.31</v>
      </c>
      <c r="E76" s="3" t="inlineStr">
        <is>
          <t>Ben Delo</t>
        </is>
      </c>
      <c r="F76" s="3" t="inlineStr">
        <is>
          <t>Fee for furniture setup</t>
        </is>
      </c>
    </row>
    <row r="77">
      <c r="A77" s="2" t="n">
        <v>45898</v>
      </c>
      <c r="B77" s="3" t="inlineStr">
        <is>
          <t>PAY* HANDY.COM-AUG29, INDIANAPOLIS, IN</t>
        </is>
      </c>
      <c r="C77" s="4" t="n">
        <v>-25</v>
      </c>
      <c r="D77" s="5" t="n">
        <v>105258.31</v>
      </c>
      <c r="E77" s="3" t="inlineStr">
        <is>
          <t>Ben Delo</t>
        </is>
      </c>
      <c r="F77" s="3" t="inlineStr">
        <is>
          <t>Rescheduling for furniture setup</t>
        </is>
      </c>
    </row>
    <row r="78">
      <c r="A78" s="2" t="n">
        <v>45897</v>
      </c>
      <c r="B78" s="3" t="inlineStr">
        <is>
          <t>GITHUB, INC., SAN FRANCISCO, CA</t>
        </is>
      </c>
      <c r="C78" s="4" t="n">
        <v>-0.02</v>
      </c>
      <c r="D78" s="4" t="n">
        <v>106499.31</v>
      </c>
      <c r="E78" s="3" t="inlineStr">
        <is>
          <t>Ben Delo</t>
        </is>
      </c>
      <c r="F78" s="3" t="inlineStr">
        <is>
          <t>Development costs</t>
        </is>
      </c>
    </row>
    <row r="79">
      <c r="A79" s="2" t="n">
        <v>45897</v>
      </c>
      <c r="B79" s="3" t="inlineStr">
        <is>
          <t>GOOGLE *CLOUD 5Q42V6, 650-253-0000, CA</t>
        </is>
      </c>
      <c r="C79" s="4" t="n">
        <v>-1000</v>
      </c>
      <c r="D79" s="5" t="n">
        <v>105499.31</v>
      </c>
      <c r="E79" s="3" t="inlineStr">
        <is>
          <t>HxA/AVDF</t>
        </is>
      </c>
      <c r="F79" s="3" t="inlineStr">
        <is>
          <t>Infrastructure - Server costs (GKE)</t>
        </is>
      </c>
    </row>
    <row r="80">
      <c r="A80" s="2" t="n">
        <v>45897</v>
      </c>
      <c r="B80" s="3" t="inlineStr">
        <is>
          <t>AMAZON MKTPLACE PMTS, Amzn.com/bill, WA</t>
        </is>
      </c>
      <c r="C80" s="4" t="n">
        <v>-99</v>
      </c>
      <c r="D80" s="4" t="n">
        <v>105400.31</v>
      </c>
      <c r="E80" s="3" t="inlineStr">
        <is>
          <t>N/A</t>
        </is>
      </c>
      <c r="F80" s="3" t="inlineStr">
        <is>
          <t>Incorrect charge; refunded on 9/13/2025</t>
        </is>
      </c>
    </row>
    <row r="81">
      <c r="A81" s="2" t="n">
        <v>45895</v>
      </c>
      <c r="B81" s="3" t="inlineStr">
        <is>
          <t>Upwork -840095937REF, Upwork.com/bi, CA</t>
        </is>
      </c>
      <c r="C81" s="4" t="n">
        <v>-1937.52</v>
      </c>
      <c r="D81" s="4" t="n">
        <v>108561.36</v>
      </c>
      <c r="E81" s="3" t="inlineStr">
        <is>
          <t>Tools</t>
        </is>
      </c>
      <c r="F81" s="3" t="inlineStr">
        <is>
          <t>Instructor Insights Development</t>
        </is>
      </c>
    </row>
    <row r="82">
      <c r="A82" s="2" t="n">
        <v>45895</v>
      </c>
      <c r="B82" s="3" t="inlineStr">
        <is>
          <t>RESIDENT* NECTAR, JEFFERSONVILL, IN</t>
        </is>
      </c>
      <c r="C82" s="4" t="n">
        <v>-2062.03</v>
      </c>
      <c r="D82" s="4" t="n">
        <v>106499.33</v>
      </c>
      <c r="E82" s="3" t="inlineStr">
        <is>
          <t>Ben Delo</t>
        </is>
      </c>
      <c r="F82" s="3" t="inlineStr">
        <is>
          <t>Nick's adjustable office bed and mattress</t>
        </is>
      </c>
    </row>
    <row r="83">
      <c r="A83" s="2" t="n">
        <v>45894</v>
      </c>
      <c r="B83" s="3" t="inlineStr">
        <is>
          <t>SENTRY, SAN FRANCISCO, CA</t>
        </is>
      </c>
      <c r="C83" s="4" t="n">
        <v>-41.29</v>
      </c>
      <c r="D83" s="4" t="n">
        <v>110548.89</v>
      </c>
      <c r="E83" s="3" t="inlineStr">
        <is>
          <t>HxA/AVDF</t>
        </is>
      </c>
      <c r="F83" s="3" t="inlineStr">
        <is>
          <t>Infrastructure - Miscellaneous (error tracking)</t>
        </is>
      </c>
    </row>
    <row r="84">
      <c r="A84" s="2" t="n">
        <v>45894</v>
      </c>
      <c r="B84" s="3" t="inlineStr">
        <is>
          <t>TWILIO INC, SAN FRANCISCO, CA</t>
        </is>
      </c>
      <c r="C84" s="4" t="n">
        <v>-10.01</v>
      </c>
      <c r="D84" s="5" t="n">
        <v>110538.88</v>
      </c>
      <c r="E84" s="3" t="inlineStr">
        <is>
          <t>HxA/AVDF</t>
        </is>
      </c>
      <c r="F84" s="3" t="inlineStr">
        <is>
          <t>Infrastructure - Miscellaneous (SMS/notifications)</t>
        </is>
      </c>
    </row>
    <row r="85">
      <c r="A85" s="2" t="n">
        <v>45894</v>
      </c>
      <c r="B85" s="3" t="inlineStr">
        <is>
          <t>CHATBASE, TORONTO, ON</t>
        </is>
      </c>
      <c r="C85" s="4" t="n">
        <v>-40</v>
      </c>
      <c r="D85" s="4" t="n">
        <v>110498.88</v>
      </c>
      <c r="E85" s="3" t="inlineStr">
        <is>
          <t>HxA/AVDF</t>
        </is>
      </c>
      <c r="F85" s="3" t="inlineStr">
        <is>
          <t>Infrastructure - Miscellaneous (support bot)</t>
        </is>
      </c>
    </row>
    <row r="86">
      <c r="A86" s="2" t="n">
        <v>45891</v>
      </c>
      <c r="B86" s="3" t="inlineStr">
        <is>
          <t>THEVERGE.COM, WASHINGTON DC, DC</t>
        </is>
      </c>
      <c r="C86" s="4" t="n">
        <v>-7</v>
      </c>
      <c r="D86" s="4" t="n">
        <v>110600.2</v>
      </c>
      <c r="E86" s="3" t="inlineStr">
        <is>
          <t>Ben Delo</t>
        </is>
      </c>
      <c r="F86" s="3" t="inlineStr">
        <is>
          <t>Subscription</t>
        </is>
      </c>
    </row>
    <row r="87">
      <c r="A87" s="2" t="n">
        <v>45891</v>
      </c>
      <c r="B87" s="3" t="inlineStr">
        <is>
          <t>TWILIO INC, SAN FRANCISCO, CA</t>
        </is>
      </c>
      <c r="C87" s="4" t="n">
        <v>-10.02</v>
      </c>
      <c r="D87" s="4" t="n">
        <v>110590.18</v>
      </c>
      <c r="E87" s="3" t="inlineStr">
        <is>
          <t>HxA/AVDF</t>
        </is>
      </c>
      <c r="F87" s="3" t="inlineStr">
        <is>
          <t>Infrastructure - Miscellaneous (SMS/notifications)</t>
        </is>
      </c>
    </row>
    <row r="88">
      <c r="A88" s="2" t="n">
        <v>45890</v>
      </c>
      <c r="B88" s="3" t="inlineStr">
        <is>
          <t>TWILIO INC, SAN FRANCISCO, CA</t>
        </is>
      </c>
      <c r="C88" s="4" t="n">
        <v>-10.01</v>
      </c>
      <c r="D88" s="4" t="n">
        <v>110628.6</v>
      </c>
      <c r="E88" s="3" t="inlineStr">
        <is>
          <t>HxA/AVDF</t>
        </is>
      </c>
      <c r="F88" s="3" t="inlineStr">
        <is>
          <t>Infrastructure - Miscellaneous (SMS/notifications)</t>
        </is>
      </c>
    </row>
    <row r="89">
      <c r="A89" s="2" t="n">
        <v>45890</v>
      </c>
      <c r="B89" s="3" t="inlineStr">
        <is>
          <t>CURSOR, AI POWERED IDE, NEW YORK, NY</t>
        </is>
      </c>
      <c r="C89" s="4" t="n">
        <v>-21.4</v>
      </c>
      <c r="D89" s="5" t="n">
        <v>110607.2</v>
      </c>
      <c r="E89" s="3" t="inlineStr">
        <is>
          <t>HxA/AVDF</t>
        </is>
      </c>
      <c r="F89" s="3" t="inlineStr">
        <is>
          <t>Development costs</t>
        </is>
      </c>
    </row>
    <row r="90">
      <c r="A90" s="2" t="n">
        <v>45889</v>
      </c>
      <c r="B90" s="3" t="inlineStr">
        <is>
          <t>BILL.COM LLC, BILLING</t>
        </is>
      </c>
      <c r="C90" s="4" t="n">
        <v>-20.33</v>
      </c>
      <c r="D90" s="4" t="n">
        <v>110638.61</v>
      </c>
      <c r="E90" s="3" t="inlineStr">
        <is>
          <t>Ben Delo</t>
        </is>
      </c>
      <c r="F90" s="3" t="inlineStr">
        <is>
          <t>Payment processing fees</t>
        </is>
      </c>
    </row>
    <row r="91">
      <c r="A91" s="2" t="n">
        <v>45888</v>
      </c>
      <c r="B91" s="3" t="inlineStr">
        <is>
          <t>UPWORK * -837926041, SAN FRANCISCO, CA</t>
        </is>
      </c>
      <c r="C91" s="4" t="n">
        <v>-2309.23</v>
      </c>
      <c r="D91" s="4" t="n">
        <v>111968.88</v>
      </c>
      <c r="E91" s="3" t="inlineStr">
        <is>
          <t>HxA/AVDF</t>
        </is>
      </c>
      <c r="F91" s="3" t="inlineStr">
        <is>
          <t>Development costs</t>
        </is>
      </c>
    </row>
    <row r="92">
      <c r="A92" s="2" t="n">
        <v>45888</v>
      </c>
      <c r="B92" s="3" t="inlineStr">
        <is>
          <t>UPWORK * -838060455, SAN FRANCISCO, CA</t>
        </is>
      </c>
      <c r="C92" s="4" t="n">
        <v>-1309.94</v>
      </c>
      <c r="D92" s="5" t="n">
        <v>110658.94</v>
      </c>
      <c r="E92" s="3" t="inlineStr">
        <is>
          <t>Tools</t>
        </is>
      </c>
      <c r="F92" s="3" t="inlineStr">
        <is>
          <t>Instructor Insights Development</t>
        </is>
      </c>
    </row>
    <row r="93">
      <c r="A93" s="2" t="n">
        <v>45884</v>
      </c>
      <c r="B93" s="3" t="inlineStr">
        <is>
          <t>AMERICAN AIRLINES, PHOENIX, AZ</t>
        </is>
      </c>
      <c r="C93" s="4" t="n">
        <v>-179.53</v>
      </c>
      <c r="D93" s="4" t="n">
        <v>114278.11</v>
      </c>
      <c r="E93" s="3" t="inlineStr">
        <is>
          <t>Snider</t>
        </is>
      </c>
      <c r="F93" s="3" t="n"/>
    </row>
    <row r="94">
      <c r="A94" s="2" t="n">
        <v>45883</v>
      </c>
      <c r="B94" s="3" t="inlineStr">
        <is>
          <t>DUN&amp; BRADSTREET ONLINE, 800-892-2980, CA</t>
        </is>
      </c>
      <c r="C94" s="4" t="n">
        <v>-249.32</v>
      </c>
      <c r="D94" s="4" t="n">
        <v>114457.64</v>
      </c>
      <c r="E94" s="3" t="inlineStr">
        <is>
          <t>HxA/AVDF</t>
        </is>
      </c>
      <c r="F94" s="3" t="inlineStr">
        <is>
          <t>Development costs</t>
        </is>
      </c>
    </row>
    <row r="95">
      <c r="A95" s="2" t="n">
        <v>45882</v>
      </c>
      <c r="B95" s="3" t="inlineStr">
        <is>
          <t>Amazon Tips, Amzn.com/bill, WA</t>
        </is>
      </c>
      <c r="C95" s="4" t="n">
        <v>-10</v>
      </c>
      <c r="D95" s="4" t="n">
        <v>114706.96</v>
      </c>
      <c r="E95" s="3" t="inlineStr">
        <is>
          <t>N/A</t>
        </is>
      </c>
      <c r="F95" s="3" t="inlineStr">
        <is>
          <t>Cullen accidental charge; repaid on 10/14/2025</t>
        </is>
      </c>
    </row>
    <row r="96">
      <c r="A96" s="2" t="n">
        <v>45881</v>
      </c>
      <c r="B96" s="3" t="inlineStr">
        <is>
          <t>UPWORK * -835793533, SAN FRANCISCO, CA</t>
        </is>
      </c>
      <c r="C96" s="4" t="n">
        <v>-2288.18</v>
      </c>
      <c r="D96" s="4" t="n">
        <v>115512.74</v>
      </c>
      <c r="E96" s="3" t="inlineStr">
        <is>
          <t>Tools</t>
        </is>
      </c>
      <c r="F96" s="3" t="inlineStr">
        <is>
          <t>Instructor Insights Development</t>
        </is>
      </c>
    </row>
    <row r="97">
      <c r="A97" s="2" t="n">
        <v>45881</v>
      </c>
      <c r="B97" s="3" t="inlineStr">
        <is>
          <t>UPWORK * -835928643, SAN FRANCISCO, CA</t>
        </is>
      </c>
      <c r="C97" s="4" t="n">
        <v>-434.37</v>
      </c>
      <c r="D97" s="5" t="n">
        <v>115078.37</v>
      </c>
      <c r="E97" s="3" t="inlineStr">
        <is>
          <t>Tools</t>
        </is>
      </c>
      <c r="F97" s="3" t="inlineStr">
        <is>
          <t>Instructor Insights Development</t>
        </is>
      </c>
    </row>
    <row r="98">
      <c r="A98" s="2" t="n">
        <v>45881</v>
      </c>
      <c r="B98" s="3" t="inlineStr">
        <is>
          <t>OPENAI, SAN FRANCISCO, CA</t>
        </is>
      </c>
      <c r="C98" s="4" t="n">
        <v>-150.07</v>
      </c>
      <c r="D98" s="5" t="n">
        <v>114928.3</v>
      </c>
      <c r="E98" s="3" t="inlineStr">
        <is>
          <t>HxA/AVDF</t>
        </is>
      </c>
      <c r="F98" s="3" t="inlineStr">
        <is>
          <t>Infrastructure - AI costs (OpenAI API)</t>
        </is>
      </c>
    </row>
    <row r="99">
      <c r="A99" s="2" t="n">
        <v>45881</v>
      </c>
      <c r="B99" s="3" t="inlineStr">
        <is>
          <t>Amazon.com, Amzn.com/bill, WA</t>
        </is>
      </c>
      <c r="C99" s="4" t="n">
        <v>-211.34</v>
      </c>
      <c r="D99" s="5" t="n">
        <v>114716.96</v>
      </c>
      <c r="E99" s="3" t="inlineStr">
        <is>
          <t>N/A</t>
        </is>
      </c>
      <c r="F99" s="3" t="inlineStr">
        <is>
          <t>Cullen accidental charge; repaid on 10/14/2025</t>
        </is>
      </c>
    </row>
    <row r="100">
      <c r="A100" s="2" t="n">
        <v>45879</v>
      </c>
      <c r="B100" s="3" t="inlineStr">
        <is>
          <t>TWILIO INC, SAN FRANCISCO, CA</t>
        </is>
      </c>
      <c r="C100" s="4" t="n">
        <v>-10.36</v>
      </c>
      <c r="D100" s="4" t="n">
        <v>117811.62</v>
      </c>
      <c r="E100" s="3" t="inlineStr">
        <is>
          <t>HxA/AVDF</t>
        </is>
      </c>
      <c r="F100" s="3" t="inlineStr">
        <is>
          <t>Infrastructure - Miscellaneous (SMS/notifications)</t>
        </is>
      </c>
    </row>
    <row r="101">
      <c r="A101" s="2" t="n">
        <v>45879</v>
      </c>
      <c r="B101" s="3" t="inlineStr">
        <is>
          <t>CURSOR USAGE JUL, NEW YORK, NY</t>
        </is>
      </c>
      <c r="C101" s="4" t="n">
        <v>-10.7</v>
      </c>
      <c r="D101" s="5" t="n">
        <v>117800.92</v>
      </c>
      <c r="E101" s="3" t="inlineStr">
        <is>
          <t>HxA/AVDF</t>
        </is>
      </c>
      <c r="F101" s="3" t="inlineStr">
        <is>
          <t>Development costs</t>
        </is>
      </c>
    </row>
    <row r="102">
      <c r="A102" s="2" t="n">
        <v>45878</v>
      </c>
      <c r="B102" s="3" t="inlineStr">
        <is>
          <t>OPENAI *CHATGPT SUBSCR, SAN FRANCISCO, CA</t>
        </is>
      </c>
      <c r="C102" s="4" t="n">
        <v>-20</v>
      </c>
      <c r="D102" s="4" t="n">
        <v>117821.98</v>
      </c>
      <c r="E102" s="3" t="inlineStr">
        <is>
          <t>HxA/AVDF</t>
        </is>
      </c>
      <c r="F102" s="3" t="inlineStr">
        <is>
          <t>Development costs - Research tool</t>
        </is>
      </c>
    </row>
    <row r="103">
      <c r="A103" s="2" t="n">
        <v>45877</v>
      </c>
      <c r="B103" s="3" t="inlineStr">
        <is>
          <t>HEROKU* JUL-107024988, SAN FRANCISCO, CA</t>
        </is>
      </c>
      <c r="C103" s="4" t="n">
        <v>-17</v>
      </c>
      <c r="D103" s="4" t="n">
        <v>117841.98</v>
      </c>
      <c r="E103" s="3" t="inlineStr">
        <is>
          <t>HxA/AVDF</t>
        </is>
      </c>
      <c r="F103" s="3" t="inlineStr">
        <is>
          <t>Infrastructure - Server costs</t>
        </is>
      </c>
    </row>
    <row r="104">
      <c r="A104" s="2" t="n">
        <v>45876</v>
      </c>
      <c r="B104" s="3" t="inlineStr">
        <is>
          <t>OPENAI *CHATGPT SUBSCR, SAN FRANCISCO, CA</t>
        </is>
      </c>
      <c r="C104" s="4" t="n">
        <v>-21.2</v>
      </c>
      <c r="D104" s="4" t="n">
        <v>117858.98</v>
      </c>
      <c r="E104" s="3" t="inlineStr">
        <is>
          <t>HxA/AVDF</t>
        </is>
      </c>
      <c r="F104" s="3" t="inlineStr">
        <is>
          <t>Development costs - Research tool</t>
        </is>
      </c>
    </row>
    <row r="105">
      <c r="A105" s="2" t="n">
        <v>45875</v>
      </c>
      <c r="B105" s="3" t="inlineStr">
        <is>
          <t>TWILIO SENDGRID, SAN FRANCISCO, CA</t>
        </is>
      </c>
      <c r="C105" s="4" t="n">
        <v>-24.95</v>
      </c>
      <c r="D105" s="4" t="n">
        <v>117880.18</v>
      </c>
      <c r="E105" s="3" t="inlineStr">
        <is>
          <t>HxA/AVDF</t>
        </is>
      </c>
      <c r="F105" s="3" t="inlineStr">
        <is>
          <t>Infrastructure - Miscellaneous (SMS/notifications)</t>
        </is>
      </c>
    </row>
    <row r="106">
      <c r="A106" s="2" t="n">
        <v>45874</v>
      </c>
      <c r="B106" s="3" t="inlineStr">
        <is>
          <t>UPWORK * -833617888, SAN FRANCISCO, CA</t>
        </is>
      </c>
      <c r="C106" s="4" t="n">
        <v>-2133.04</v>
      </c>
      <c r="D106" s="4" t="n">
        <v>117960.13</v>
      </c>
      <c r="E106" s="3" t="inlineStr">
        <is>
          <t>HxA/AVDF</t>
        </is>
      </c>
      <c r="F106" s="3" t="inlineStr">
        <is>
          <t>Development costs</t>
        </is>
      </c>
    </row>
    <row r="107">
      <c r="A107" s="2" t="n">
        <v>45874</v>
      </c>
      <c r="B107" s="3" t="inlineStr">
        <is>
          <t>GUSTO, FEE 979049</t>
        </is>
      </c>
      <c r="C107" s="4" t="n">
        <v>-55</v>
      </c>
      <c r="D107" s="4" t="n">
        <v>117905.13</v>
      </c>
      <c r="E107" s="3" t="inlineStr">
        <is>
          <t>Snider</t>
        </is>
      </c>
      <c r="F107" s="3" t="inlineStr">
        <is>
          <t>Payroll service fee</t>
        </is>
      </c>
    </row>
    <row r="108">
      <c r="A108" s="2" t="n">
        <v>45871</v>
      </c>
      <c r="B108" s="3" t="inlineStr">
        <is>
          <t>GOOGLE *GSUITE_swaybet, 650-253-0000, CA</t>
        </is>
      </c>
      <c r="C108" s="4" t="n">
        <v>-19.26</v>
      </c>
      <c r="D108" s="4" t="n">
        <v>120501.16</v>
      </c>
      <c r="E108" s="3" t="inlineStr">
        <is>
          <t>HxA/AVDF</t>
        </is>
      </c>
      <c r="F108" s="3" t="inlineStr">
        <is>
          <t>Infrastructure - Miscellaneous (email/workspace)</t>
        </is>
      </c>
    </row>
    <row r="109">
      <c r="A109" s="2" t="n">
        <v>45871</v>
      </c>
      <c r="B109" s="3" t="inlineStr">
        <is>
          <t>GOOGLE *CLOUD 9vKT9W, 650-253-0000, CA</t>
        </is>
      </c>
      <c r="C109" s="4" t="n">
        <v>-407.98</v>
      </c>
      <c r="D109" s="4" t="n">
        <v>120093.18</v>
      </c>
      <c r="E109" s="3" t="inlineStr">
        <is>
          <t>HxA/AVDF</t>
        </is>
      </c>
      <c r="F109" s="3" t="inlineStr">
        <is>
          <t>Infrastructure - Server costs (GKE)</t>
        </is>
      </c>
    </row>
    <row r="110">
      <c r="A110" s="2" t="n">
        <v>45871</v>
      </c>
      <c r="B110" s="3" t="inlineStr">
        <is>
          <t>GOOGLE *CLOUD DzX7TJ, 650-253-0000, CA</t>
        </is>
      </c>
      <c r="C110" s="4" t="n">
        <v>-0.01</v>
      </c>
      <c r="D110" s="5" t="n">
        <v>120093.17</v>
      </c>
      <c r="E110" s="3" t="inlineStr">
        <is>
          <t>Ben Delo</t>
        </is>
      </c>
      <c r="F110" s="3" t="inlineStr">
        <is>
          <t>Infrastructure</t>
        </is>
      </c>
    </row>
    <row r="111">
      <c r="A111" s="2" t="n">
        <v>45870</v>
      </c>
      <c r="B111" s="3" t="inlineStr">
        <is>
          <t>Interest earned in July 2025</t>
        </is>
      </c>
      <c r="C111" s="4" t="n">
        <v>371.16</v>
      </c>
      <c r="D111" s="4" t="n">
        <v>120520.42</v>
      </c>
      <c r="E111" s="3" t="n"/>
      <c r="F111" s="3" t="n"/>
    </row>
    <row r="112">
      <c r="A112" s="2" t="n">
        <v>45869</v>
      </c>
      <c r="B112" s="3" t="inlineStr">
        <is>
          <t>GOOGLE *Google One, 650-253-0000, CA</t>
        </is>
      </c>
      <c r="C112" s="4" t="n">
        <v>-21.39</v>
      </c>
      <c r="D112" s="4" t="n">
        <v>120149.26</v>
      </c>
      <c r="E112" s="3" t="inlineStr">
        <is>
          <t>Ben Delo</t>
        </is>
      </c>
      <c r="F112" s="3" t="inlineStr">
        <is>
          <t>Cloud storage/AI subscription</t>
        </is>
      </c>
    </row>
    <row r="113">
      <c r="A113" s="2" t="n">
        <v>45868</v>
      </c>
      <c r="B113" s="3" t="inlineStr">
        <is>
          <t>UPWORK * -831769250, SAN FRANCISCO, CA</t>
        </is>
      </c>
      <c r="C113" s="4" t="n">
        <v>-245.35</v>
      </c>
      <c r="D113" s="4" t="n">
        <v>120170.65</v>
      </c>
      <c r="E113" s="3" t="inlineStr">
        <is>
          <t>Tools</t>
        </is>
      </c>
      <c r="F113" s="3" t="inlineStr">
        <is>
          <t>Instructor Insights Development</t>
        </is>
      </c>
    </row>
    <row r="114">
      <c r="A114" s="2" t="n">
        <v>45867</v>
      </c>
      <c r="B114" s="3" t="inlineStr">
        <is>
          <t>UPWORK * -831406601, SAN FRANCISCO, CA</t>
        </is>
      </c>
      <c r="C114" s="4" t="n">
        <v>-2257.82</v>
      </c>
      <c r="D114" s="4" t="n">
        <v>120416</v>
      </c>
      <c r="E114" s="3" t="inlineStr">
        <is>
          <t>Tools</t>
        </is>
      </c>
      <c r="F114" s="3" t="inlineStr">
        <is>
          <t>Instructor Insights Development</t>
        </is>
      </c>
    </row>
    <row r="115">
      <c r="A115" s="2" t="n">
        <v>45865</v>
      </c>
      <c r="B115" s="3" t="inlineStr">
        <is>
          <t>LinkedInPreD *25906824, Mountain View, CA</t>
        </is>
      </c>
      <c r="C115" s="4" t="n">
        <v>-577.6799999999999</v>
      </c>
      <c r="D115" s="4" t="n">
        <v>122683.82</v>
      </c>
      <c r="E115" s="3" t="inlineStr">
        <is>
          <t>Snider</t>
        </is>
      </c>
      <c r="F115" s="3" t="inlineStr">
        <is>
          <t>Annual professional LinkedIn account</t>
        </is>
      </c>
    </row>
    <row r="116">
      <c r="A116" s="2" t="n">
        <v>45865</v>
      </c>
      <c r="B116" s="3" t="inlineStr">
        <is>
          <t>TWILIO INC, SAN FRANCISCO, CA</t>
        </is>
      </c>
      <c r="C116" s="4" t="n">
        <v>-10</v>
      </c>
      <c r="D116" s="4" t="n">
        <v>122673.82</v>
      </c>
      <c r="E116" s="3" t="inlineStr">
        <is>
          <t>HxA/AVDF</t>
        </is>
      </c>
      <c r="F116" s="3" t="inlineStr">
        <is>
          <t>Infrastructure - Miscellaneous (SMS/notifications)</t>
        </is>
      </c>
    </row>
    <row r="117">
      <c r="A117" s="2" t="n">
        <v>45863</v>
      </c>
      <c r="B117" s="3" t="inlineStr">
        <is>
          <t>SENTRY, SAN FRANCISCO, CA</t>
        </is>
      </c>
      <c r="C117" s="4" t="n">
        <v>-35.77</v>
      </c>
      <c r="D117" s="4" t="n">
        <v>125716</v>
      </c>
      <c r="E117" s="3" t="inlineStr">
        <is>
          <t>HxA/AVDF</t>
        </is>
      </c>
      <c r="F117" s="3" t="inlineStr">
        <is>
          <t>Infrastructure - Miscellaneous (error tracking)</t>
        </is>
      </c>
    </row>
    <row r="118">
      <c r="A118" s="2" t="n">
        <v>45863</v>
      </c>
      <c r="B118" s="3" t="inlineStr">
        <is>
          <t>GUSTO, TAX 609792</t>
        </is>
      </c>
      <c r="C118" s="4" t="n">
        <v>-686.1</v>
      </c>
      <c r="D118" s="4" t="n">
        <v>125029.9</v>
      </c>
      <c r="E118" s="3" t="inlineStr">
        <is>
          <t>Snider</t>
        </is>
      </c>
      <c r="F118" s="3" t="inlineStr">
        <is>
          <t>Payroll taxes for DiBella salary 7/16/2025-7/25/2025</t>
        </is>
      </c>
    </row>
    <row r="119">
      <c r="A119" s="2" t="n">
        <v>45863</v>
      </c>
      <c r="B119" s="3" t="inlineStr">
        <is>
          <t>GUSTO, NET 610613</t>
        </is>
      </c>
      <c r="C119" s="4" t="n">
        <v>-1768.4</v>
      </c>
      <c r="D119" s="5" t="n">
        <v>123261.5</v>
      </c>
      <c r="E119" s="3" t="inlineStr">
        <is>
          <t>Snider</t>
        </is>
      </c>
      <c r="F119" s="3" t="inlineStr">
        <is>
          <t>DiBella salary for 7/16/2025-7/25/2025</t>
        </is>
      </c>
    </row>
    <row r="120">
      <c r="A120" s="2" t="n">
        <v>45862</v>
      </c>
      <c r="B120" s="3" t="inlineStr">
        <is>
          <t>Amazon.com, Amzn.com/bill, WA</t>
        </is>
      </c>
      <c r="C120" s="4" t="n">
        <v>-28.08</v>
      </c>
      <c r="D120" s="4" t="n">
        <v>125813.24</v>
      </c>
      <c r="E120" s="3" t="inlineStr">
        <is>
          <t>Ben Delo</t>
        </is>
      </c>
      <c r="F120" s="3" t="inlineStr">
        <is>
          <t>Office supplies</t>
        </is>
      </c>
    </row>
    <row r="121">
      <c r="A121" s="2" t="n">
        <v>45862</v>
      </c>
      <c r="B121" s="3" t="inlineStr">
        <is>
          <t>AMAZON MKTPLACE PMTS, Amzn.com/bill, WA</t>
        </is>
      </c>
      <c r="C121" s="4" t="n">
        <v>-61.47</v>
      </c>
      <c r="D121" s="4" t="n">
        <v>125751.77</v>
      </c>
      <c r="E121" s="3" t="inlineStr">
        <is>
          <t>Snider</t>
        </is>
      </c>
      <c r="F121" s="3" t="inlineStr">
        <is>
          <t>Office supplies</t>
        </is>
      </c>
    </row>
    <row r="122">
      <c r="A122" s="2" t="n">
        <v>45860</v>
      </c>
      <c r="B122" s="3" t="inlineStr">
        <is>
          <t>UPWORK * -829263717, SAN FRANCISCO, CA</t>
        </is>
      </c>
      <c r="C122" s="4" t="n">
        <v>-2657.96</v>
      </c>
      <c r="D122" s="4" t="n">
        <v>125899.81</v>
      </c>
      <c r="E122" s="3" t="inlineStr">
        <is>
          <t>Tools</t>
        </is>
      </c>
      <c r="F122" s="3" t="inlineStr">
        <is>
          <t>Instructor Insights Development</t>
        </is>
      </c>
    </row>
    <row r="123">
      <c r="A123" s="2" t="n">
        <v>45860</v>
      </c>
      <c r="B123" s="3" t="inlineStr">
        <is>
          <t>TWILIO INC, SAN FRANCISCO, CA</t>
        </is>
      </c>
      <c r="C123" s="4" t="n">
        <v>-10.34</v>
      </c>
      <c r="D123" s="5" t="n">
        <v>125889.47</v>
      </c>
      <c r="E123" s="3" t="inlineStr">
        <is>
          <t>HxA/AVDF</t>
        </is>
      </c>
      <c r="F123" s="3" t="inlineStr">
        <is>
          <t>Infrastructure - Miscellaneous (SMS/notifications)</t>
        </is>
      </c>
    </row>
    <row r="124">
      <c r="A124" s="2" t="n">
        <v>45860</v>
      </c>
      <c r="B124" s="3" t="inlineStr">
        <is>
          <t>BILL.COM LLC, BILLING</t>
        </is>
      </c>
      <c r="C124" s="4" t="n">
        <v>-48.15</v>
      </c>
      <c r="D124" s="4" t="n">
        <v>125841.32</v>
      </c>
      <c r="E124" s="3" t="inlineStr">
        <is>
          <t>Ben Delo</t>
        </is>
      </c>
      <c r="F124" s="3" t="inlineStr">
        <is>
          <t>Payment processing fees</t>
        </is>
      </c>
    </row>
    <row r="125">
      <c r="A125" s="2" t="n">
        <v>45859</v>
      </c>
      <c r="B125" s="3" t="inlineStr">
        <is>
          <t>OPENAI, SAN FRANCISCO, CA</t>
        </is>
      </c>
      <c r="C125" s="4" t="n">
        <v>-150.14</v>
      </c>
      <c r="D125" s="4" t="n">
        <v>128504.28</v>
      </c>
      <c r="E125" s="3" t="inlineStr">
        <is>
          <t>HxA/AVDF</t>
        </is>
      </c>
      <c r="F125" s="3" t="inlineStr">
        <is>
          <t>Infrastructure - AI costs (OpenAI API)</t>
        </is>
      </c>
    </row>
    <row r="126">
      <c r="A126" s="2" t="n">
        <v>45859</v>
      </c>
      <c r="B126" s="3" t="inlineStr">
        <is>
          <t>CURSOR, AI POWERED IDE, NEW YORK, NY</t>
        </is>
      </c>
      <c r="C126" s="4" t="n">
        <v>-21.4</v>
      </c>
      <c r="D126" s="5" t="n">
        <v>128482.88</v>
      </c>
      <c r="E126" s="3" t="inlineStr">
        <is>
          <t>HxA/AVDF</t>
        </is>
      </c>
      <c r="F126" s="3" t="inlineStr">
        <is>
          <t>Development costs</t>
        </is>
      </c>
    </row>
    <row r="127">
      <c r="A127" s="2" t="n">
        <v>45859</v>
      </c>
      <c r="B127" s="3" t="inlineStr">
        <is>
          <t xml:space="preserve">LinkedInPreC *92800606 Mountain View CA </t>
        </is>
      </c>
      <c r="C127" s="4" t="n">
        <v>74.89</v>
      </c>
      <c r="D127" s="4" t="n">
        <v>128557.77</v>
      </c>
      <c r="E127" s="3" t="inlineStr">
        <is>
          <t>N/A</t>
        </is>
      </c>
      <c r="F127" s="3" t="inlineStr">
        <is>
          <t>Refund of incorrect charge on 7/15/2025</t>
        </is>
      </c>
    </row>
    <row r="128">
      <c r="A128" s="2" t="n">
        <v>45858</v>
      </c>
      <c r="B128" s="3" t="inlineStr">
        <is>
          <t>GOOGLE *CLOUD 8J3KDR, 650-253-0000, CA</t>
        </is>
      </c>
      <c r="C128" s="4" t="n">
        <v>-500</v>
      </c>
      <c r="D128" s="4" t="n">
        <v>128797.42</v>
      </c>
      <c r="E128" s="3" t="inlineStr">
        <is>
          <t>HxA/AVDF</t>
        </is>
      </c>
      <c r="F128" s="3" t="inlineStr">
        <is>
          <t>Infrastructure - Server costs (GKE)</t>
        </is>
      </c>
    </row>
    <row r="129">
      <c r="A129" s="2" t="n">
        <v>45858</v>
      </c>
      <c r="B129" s="3" t="inlineStr">
        <is>
          <t>TWINR INC., VAUDREUIL-DOR, QC</t>
        </is>
      </c>
      <c r="C129" s="4" t="n">
        <v>-87.5</v>
      </c>
      <c r="D129" s="4" t="n">
        <v>128709.92</v>
      </c>
      <c r="E129" s="3" t="inlineStr">
        <is>
          <t>HxA/AVDF</t>
        </is>
      </c>
      <c r="F129" s="3" t="inlineStr">
        <is>
          <t>Development costs</t>
        </is>
      </c>
    </row>
    <row r="130">
      <c r="A130" s="2" t="n">
        <v>45858</v>
      </c>
      <c r="B130" s="3" t="inlineStr">
        <is>
          <t>ANTHROPIC, SAN FRANCISCO, CA</t>
        </is>
      </c>
      <c r="C130" s="4" t="n">
        <v>-53.5</v>
      </c>
      <c r="D130" s="5" t="n">
        <v>128656.42</v>
      </c>
      <c r="E130" s="3" t="inlineStr">
        <is>
          <t>HxA/AVDF</t>
        </is>
      </c>
      <c r="F130" s="3" t="inlineStr">
        <is>
          <t>Infrastructure - AI costs (Anthropic API)</t>
        </is>
      </c>
    </row>
    <row r="131">
      <c r="A131" s="2" t="n">
        <v>45858</v>
      </c>
      <c r="B131" s="3" t="inlineStr">
        <is>
          <t>TWINR INC., VAUDREUIL-DOR, QC</t>
        </is>
      </c>
      <c r="C131" s="4" t="n">
        <v>-2</v>
      </c>
      <c r="D131" s="5" t="n">
        <v>128654.42</v>
      </c>
      <c r="E131" s="3" t="inlineStr">
        <is>
          <t>HxA/AVDF</t>
        </is>
      </c>
      <c r="F131" s="3" t="inlineStr">
        <is>
          <t>Development costs</t>
        </is>
      </c>
    </row>
    <row r="132">
      <c r="A132" s="2" t="n">
        <v>45856</v>
      </c>
      <c r="B132" s="3" t="inlineStr">
        <is>
          <t>UPWORK * -827860618, SAN FRANCISCO, CA</t>
        </is>
      </c>
      <c r="C132" s="4" t="n">
        <v>-658.67</v>
      </c>
      <c r="D132" s="4" t="n">
        <v>130428.6</v>
      </c>
      <c r="E132" s="3" t="inlineStr">
        <is>
          <t>HxA/AVDF</t>
        </is>
      </c>
      <c r="F132" s="3" t="inlineStr">
        <is>
          <t>Development costs</t>
        </is>
      </c>
    </row>
    <row r="133">
      <c r="A133" s="2" t="n">
        <v>45856</v>
      </c>
      <c r="B133" s="3" t="inlineStr">
        <is>
          <t>GUSTO, TAX 386182</t>
        </is>
      </c>
      <c r="C133" s="4" t="n">
        <v>-271.95</v>
      </c>
      <c r="D133" s="4" t="n">
        <v>130156.65</v>
      </c>
      <c r="E133" s="3" t="inlineStr">
        <is>
          <t>Snider</t>
        </is>
      </c>
      <c r="F133" s="3" t="inlineStr">
        <is>
          <t>Payroll taxes for DiBella salary 5/28/2025-5/31/2025</t>
        </is>
      </c>
    </row>
    <row r="134">
      <c r="A134" s="2" t="n">
        <v>45856</v>
      </c>
      <c r="B134" s="3" t="inlineStr">
        <is>
          <t>GUSTO, NET 380064</t>
        </is>
      </c>
      <c r="C134" s="4" t="n">
        <v>-859.23</v>
      </c>
      <c r="D134" s="5" t="n">
        <v>129297.42</v>
      </c>
      <c r="E134" s="3" t="inlineStr">
        <is>
          <t>Snider</t>
        </is>
      </c>
      <c r="F134" s="3" t="inlineStr">
        <is>
          <t>DiBella backpay for 5/28/2025-5/31/2025</t>
        </is>
      </c>
    </row>
    <row r="135">
      <c r="A135" s="2" t="n">
        <v>45855</v>
      </c>
      <c r="B135" s="3" t="inlineStr">
        <is>
          <t>ORLANDO AIRPORT MARR, ORLANDO, FL</t>
        </is>
      </c>
      <c r="C135" s="4" t="n">
        <v>-208.13</v>
      </c>
      <c r="D135" s="4" t="n">
        <v>143442.2</v>
      </c>
      <c r="E135" s="3" t="inlineStr">
        <is>
          <t>Snider</t>
        </is>
      </c>
      <c r="F135" s="3" t="n"/>
    </row>
    <row r="136">
      <c r="A136" s="2" t="n">
        <v>45855</v>
      </c>
      <c r="B136" s="3" t="inlineStr">
        <is>
          <t>TWINR INC., VAUDREUIL-DOR, QC</t>
        </is>
      </c>
      <c r="C136" s="4" t="n">
        <v>-93.75</v>
      </c>
      <c r="D136" s="4" t="n">
        <v>143348.45</v>
      </c>
      <c r="E136" s="3" t="inlineStr">
        <is>
          <t>HxA/AVDF</t>
        </is>
      </c>
      <c r="F136" s="3" t="inlineStr">
        <is>
          <t>Development costs</t>
        </is>
      </c>
    </row>
    <row r="137">
      <c r="A137" s="2" t="n">
        <v>45855</v>
      </c>
      <c r="B137" s="3" t="inlineStr">
        <is>
          <t>TWINR INC., VAUDREUIL-DOR, QC</t>
        </is>
      </c>
      <c r="C137" s="4" t="n">
        <v>-2</v>
      </c>
      <c r="D137" s="5" t="n">
        <v>143346.45</v>
      </c>
      <c r="E137" s="3" t="inlineStr">
        <is>
          <t>HxA/AVDF</t>
        </is>
      </c>
      <c r="F137" s="3" t="inlineStr">
        <is>
          <t>Development costs</t>
        </is>
      </c>
    </row>
    <row r="138">
      <c r="A138" s="2" t="n">
        <v>45855</v>
      </c>
      <c r="B138" s="3" t="inlineStr">
        <is>
          <t xml:space="preserve">AMERICAN               800-433-7300  TX </t>
        </is>
      </c>
      <c r="C138" s="4" t="n">
        <v>608.01</v>
      </c>
      <c r="D138" s="5" t="n">
        <v>143954.46</v>
      </c>
      <c r="E138" s="3" t="inlineStr">
        <is>
          <t>N/A</t>
        </is>
      </c>
      <c r="F138" s="3" t="inlineStr">
        <is>
          <t>Refund of incorrect charge on 7/2/2025</t>
        </is>
      </c>
    </row>
    <row r="139">
      <c r="A139" s="2" t="n">
        <v>45855</v>
      </c>
      <c r="B139" s="3" t="inlineStr">
        <is>
          <t>GUSTO, NET 277978</t>
        </is>
      </c>
      <c r="C139" s="4" t="n">
        <v>-2808.63</v>
      </c>
      <c r="D139" s="5" t="n">
        <v>141145.83</v>
      </c>
      <c r="E139" s="3" t="inlineStr">
        <is>
          <t>Snider</t>
        </is>
      </c>
      <c r="F139" s="3" t="inlineStr">
        <is>
          <t>DiBella backpay for 7/1/2025-7/15/2025</t>
        </is>
      </c>
    </row>
    <row r="140">
      <c r="A140" s="2" t="n">
        <v>45855</v>
      </c>
      <c r="B140" s="3" t="inlineStr">
        <is>
          <t>GUSTO, TAX 291404</t>
        </is>
      </c>
      <c r="C140" s="4" t="n">
        <v>-1426.04</v>
      </c>
      <c r="D140" s="5" t="n">
        <v>139719.79</v>
      </c>
      <c r="E140" s="3" t="inlineStr">
        <is>
          <t>Snider</t>
        </is>
      </c>
      <c r="F140" s="3" t="inlineStr">
        <is>
          <t>Payroll taxes for DiBella salary 7/1/2025-7/15/2025</t>
        </is>
      </c>
    </row>
    <row r="141">
      <c r="A141" s="2" t="n">
        <v>45855</v>
      </c>
      <c r="B141" s="3" t="inlineStr">
        <is>
          <t>GUSTO, TAX 290030</t>
        </is>
      </c>
      <c r="C141" s="4" t="n">
        <v>-1508.54</v>
      </c>
      <c r="D141" s="5" t="n">
        <v>138211.25</v>
      </c>
      <c r="E141" s="3" t="inlineStr">
        <is>
          <t>Snider</t>
        </is>
      </c>
      <c r="F141" s="3" t="inlineStr">
        <is>
          <t>Payroll taxes for DiBella salary 6/1/2025-6/15/2025</t>
        </is>
      </c>
    </row>
    <row r="142">
      <c r="A142" s="2" t="n">
        <v>45855</v>
      </c>
      <c r="B142" s="3" t="inlineStr">
        <is>
          <t>GUSTO, NET 277978</t>
        </is>
      </c>
      <c r="C142" s="4" t="n">
        <v>-2810.81</v>
      </c>
      <c r="D142" s="5" t="n">
        <v>135400.44</v>
      </c>
      <c r="E142" s="3" t="inlineStr">
        <is>
          <t>Snider</t>
        </is>
      </c>
      <c r="F142" s="3" t="inlineStr">
        <is>
          <t>DiBella backpay for 6/16/2025-6/30/2025</t>
        </is>
      </c>
    </row>
    <row r="143">
      <c r="A143" s="2" t="n">
        <v>45855</v>
      </c>
      <c r="B143" s="3" t="inlineStr">
        <is>
          <t>GUSTO, NET 278975</t>
        </is>
      </c>
      <c r="C143" s="4" t="n">
        <v>-2810.8</v>
      </c>
      <c r="D143" s="5" t="n">
        <v>132589.64</v>
      </c>
      <c r="E143" s="3" t="inlineStr">
        <is>
          <t>Snider</t>
        </is>
      </c>
      <c r="F143" s="3" t="inlineStr">
        <is>
          <t>DiBella backpay for 6/1/2025-6/15/2025</t>
        </is>
      </c>
    </row>
    <row r="144">
      <c r="A144" s="2" t="n">
        <v>45855</v>
      </c>
      <c r="B144" s="3" t="inlineStr">
        <is>
          <t>GUSTO, TAX 291404</t>
        </is>
      </c>
      <c r="C144" s="4" t="n">
        <v>-1502.37</v>
      </c>
      <c r="D144" s="5" t="n">
        <v>131087.27</v>
      </c>
      <c r="E144" s="3" t="inlineStr">
        <is>
          <t>Snider</t>
        </is>
      </c>
      <c r="F144" s="3" t="inlineStr">
        <is>
          <t>Payroll taxes for DiBella salary 6/1/2025-6/15/2025</t>
        </is>
      </c>
    </row>
    <row r="145">
      <c r="A145" s="2" t="n">
        <v>45854</v>
      </c>
      <c r="B145" s="3" t="inlineStr">
        <is>
          <t>TWILIO INC, SAN FRANCISCO, CA</t>
        </is>
      </c>
      <c r="C145" s="4" t="n">
        <v>-10.89</v>
      </c>
      <c r="D145" s="4" t="n">
        <v>143650.33</v>
      </c>
      <c r="E145" s="3" t="inlineStr">
        <is>
          <t>HxA/AVDF</t>
        </is>
      </c>
      <c r="F145" s="3" t="inlineStr">
        <is>
          <t>Infrastructure - Miscellaneous (SMS/notifications)</t>
        </is>
      </c>
    </row>
    <row r="146">
      <c r="A146" s="2" t="n">
        <v>45853</v>
      </c>
      <c r="B146" s="3" t="inlineStr">
        <is>
          <t>UPWORK * -827095899, SAN FRANCISCO, CA</t>
        </is>
      </c>
      <c r="C146" s="4" t="n">
        <v>-2444.02</v>
      </c>
      <c r="D146" s="4" t="n">
        <v>143864.04</v>
      </c>
      <c r="E146" s="3" t="inlineStr">
        <is>
          <t>HxA/AVDF</t>
        </is>
      </c>
      <c r="F146" s="3" t="inlineStr">
        <is>
          <t>Development costs</t>
        </is>
      </c>
    </row>
    <row r="147">
      <c r="A147" s="2" t="n">
        <v>45853</v>
      </c>
      <c r="B147" s="3" t="inlineStr">
        <is>
          <t>LinkedInPreC *92800606, Mountain View, CA</t>
        </is>
      </c>
      <c r="C147" s="4" t="n">
        <v>-74.89</v>
      </c>
      <c r="D147" s="4" t="n">
        <v>143789.15</v>
      </c>
      <c r="E147" s="3" t="inlineStr">
        <is>
          <t>N/A</t>
        </is>
      </c>
      <c r="F147" s="3" t="inlineStr">
        <is>
          <t>Incorrect charge; refunded on 7/21/2025</t>
        </is>
      </c>
    </row>
    <row r="148">
      <c r="A148" s="2" t="n">
        <v>45853</v>
      </c>
      <c r="B148" s="3" t="inlineStr">
        <is>
          <t>DELTA INTERNET DELTA.C, ATLANTA, GA</t>
        </is>
      </c>
      <c r="C148" s="4" t="n">
        <v>-127.93</v>
      </c>
      <c r="D148" s="4" t="n">
        <v>143661.22</v>
      </c>
      <c r="E148" s="3" t="inlineStr">
        <is>
          <t>Snider</t>
        </is>
      </c>
      <c r="F148" s="3" t="n"/>
    </row>
    <row r="149">
      <c r="A149" s="2" t="n">
        <v>45851</v>
      </c>
      <c r="B149" s="3" t="inlineStr">
        <is>
          <t>AMAZON MKTPLACE PMTS, Amzn.com/bill, WA</t>
        </is>
      </c>
      <c r="C149" s="4" t="n">
        <v>-49.81</v>
      </c>
      <c r="D149" s="4" t="n">
        <v>146357.87</v>
      </c>
      <c r="E149" s="3" t="inlineStr">
        <is>
          <t>Ben Delo</t>
        </is>
      </c>
      <c r="F149" s="3" t="inlineStr">
        <is>
          <t>Office supplies</t>
        </is>
      </c>
    </row>
    <row r="150">
      <c r="A150" s="2" t="n">
        <v>45851</v>
      </c>
      <c r="B150" s="3" t="inlineStr">
        <is>
          <t>AMAZON MKTPLACE PMTS, Amzn.com/bill, WA</t>
        </is>
      </c>
      <c r="C150" s="4" t="n">
        <v>-49.81</v>
      </c>
      <c r="D150" s="4" t="n">
        <v>146308.06</v>
      </c>
      <c r="E150" s="3" t="inlineStr">
        <is>
          <t>Ben Delo</t>
        </is>
      </c>
      <c r="F150" s="3" t="inlineStr">
        <is>
          <t>Office supplies</t>
        </is>
      </c>
    </row>
    <row r="151">
      <c r="A151" s="2" t="n">
        <v>45848</v>
      </c>
      <c r="B151" s="3" t="inlineStr">
        <is>
          <t>HEROKU* JUN-106457466, SAN FRANCISCO, CA</t>
        </is>
      </c>
      <c r="C151" s="4" t="n">
        <v>-16.17</v>
      </c>
      <c r="D151" s="4" t="n">
        <v>146407.68</v>
      </c>
      <c r="E151" s="3" t="inlineStr">
        <is>
          <t>HxA/AVDF</t>
        </is>
      </c>
      <c r="F151" s="3" t="inlineStr">
        <is>
          <t>Infrastructure - Server costs</t>
        </is>
      </c>
    </row>
    <row r="152">
      <c r="A152" s="2" t="n">
        <v>45847</v>
      </c>
      <c r="B152" s="3" t="inlineStr">
        <is>
          <t>PA BCCO CORP FEE-DOS, HARRISBURG, PA</t>
        </is>
      </c>
      <c r="C152" s="4" t="n">
        <v>-350</v>
      </c>
      <c r="D152" s="4" t="n">
        <v>146455.15</v>
      </c>
      <c r="E152" s="3" t="inlineStr">
        <is>
          <t>Snider</t>
        </is>
      </c>
      <c r="F152" s="3" t="inlineStr">
        <is>
          <t>Foreign business registration</t>
        </is>
      </c>
    </row>
    <row r="153">
      <c r="A153" s="2" t="n">
        <v>45847</v>
      </c>
      <c r="B153" s="3" t="inlineStr">
        <is>
          <t>TWILIO INC, SAN FRANCISCO, CA</t>
        </is>
      </c>
      <c r="C153" s="4" t="n">
        <v>-11.3</v>
      </c>
      <c r="D153" s="4" t="n">
        <v>146443.85</v>
      </c>
      <c r="E153" s="3" t="inlineStr">
        <is>
          <t>HxA/AVDF</t>
        </is>
      </c>
      <c r="F153" s="3" t="inlineStr">
        <is>
          <t>Infrastructure - Miscellaneous (SMS/notifications)</t>
        </is>
      </c>
    </row>
    <row r="154">
      <c r="A154" s="2" t="n">
        <v>45847</v>
      </c>
      <c r="B154" s="3" t="inlineStr">
        <is>
          <t>OPENAI *CHATGPT SUBSCR, SAN FRANCISCO, CA</t>
        </is>
      </c>
      <c r="C154" s="4" t="n">
        <v>-20</v>
      </c>
      <c r="D154" s="5" t="n">
        <v>146423.85</v>
      </c>
      <c r="E154" s="3" t="inlineStr">
        <is>
          <t>HxA/AVDF</t>
        </is>
      </c>
      <c r="F154" s="3" t="inlineStr">
        <is>
          <t>Development costs - Research tool</t>
        </is>
      </c>
    </row>
    <row r="155">
      <c r="A155" s="2" t="n">
        <v>45846</v>
      </c>
      <c r="B155" s="3" t="inlineStr">
        <is>
          <t>NAME-CHEAP.COM* LY0OMY, PHOENIX, AZ</t>
        </is>
      </c>
      <c r="C155" s="4" t="n">
        <v>-32.36</v>
      </c>
      <c r="D155" s="4" t="n">
        <v>149439.77</v>
      </c>
      <c r="E155" s="3" t="inlineStr">
        <is>
          <t>HxA/AVDF</t>
        </is>
      </c>
      <c r="F155" s="3" t="inlineStr">
        <is>
          <t>Website costs</t>
        </is>
      </c>
    </row>
    <row r="156">
      <c r="A156" s="2" t="n">
        <v>45846</v>
      </c>
      <c r="B156" s="3" t="inlineStr">
        <is>
          <t>UPWORK * -824937417, SAN FRANCISCO, CA</t>
        </is>
      </c>
      <c r="C156" s="4" t="n">
        <v>-2634.62</v>
      </c>
      <c r="D156" s="4" t="n">
        <v>146805.15</v>
      </c>
      <c r="E156" s="3" t="inlineStr">
        <is>
          <t>Tools</t>
        </is>
      </c>
      <c r="F156" s="3" t="inlineStr">
        <is>
          <t>Instructor Insights Development</t>
        </is>
      </c>
    </row>
    <row r="157">
      <c r="A157" s="2" t="n">
        <v>45845</v>
      </c>
      <c r="B157" s="3" t="inlineStr">
        <is>
          <t>OPENAI *CHATGPT SUBSCR, SAN FRANCISCO, CA</t>
        </is>
      </c>
      <c r="C157" s="4" t="n">
        <v>-21.2</v>
      </c>
      <c r="D157" s="4" t="n">
        <v>149472.13</v>
      </c>
      <c r="E157" s="3" t="inlineStr">
        <is>
          <t>HxA/AVDF</t>
        </is>
      </c>
      <c r="F157" s="3" t="inlineStr">
        <is>
          <t>Development costs - Research tool</t>
        </is>
      </c>
    </row>
    <row r="158">
      <c r="A158" s="2" t="n">
        <v>45843</v>
      </c>
      <c r="B158" s="3" t="inlineStr">
        <is>
          <t>DELTA INTERNET DELTA.C, ATLANTA, GA</t>
        </is>
      </c>
      <c r="C158" s="4" t="n">
        <v>-303.49</v>
      </c>
      <c r="D158" s="4" t="n">
        <v>149493.33</v>
      </c>
      <c r="E158" s="3" t="inlineStr">
        <is>
          <t>Snider</t>
        </is>
      </c>
      <c r="F158" s="3" t="n"/>
    </row>
    <row r="159">
      <c r="A159" s="2" t="n">
        <v>45842</v>
      </c>
      <c r="B159" s="3" t="inlineStr">
        <is>
          <t>TWILIO INC, SAN FRANCISCO, CA</t>
        </is>
      </c>
      <c r="C159" s="4" t="n">
        <v>-10.23</v>
      </c>
      <c r="D159" s="4" t="n">
        <v>149210.81</v>
      </c>
      <c r="E159" s="3" t="inlineStr">
        <is>
          <t>HxA/AVDF</t>
        </is>
      </c>
      <c r="F159" s="3" t="inlineStr">
        <is>
          <t>Infrastructure - Miscellaneous (SMS/notifications)</t>
        </is>
      </c>
    </row>
    <row r="160">
      <c r="A160" s="2" t="n">
        <v>45842</v>
      </c>
      <c r="B160" s="3" t="inlineStr">
        <is>
          <t>TWILIO SENDGRID, SAN FRANCISCO, CA</t>
        </is>
      </c>
      <c r="C160" s="4" t="n">
        <v>-24.95</v>
      </c>
      <c r="D160" s="5" t="n">
        <v>149185.86</v>
      </c>
      <c r="E160" s="3" t="inlineStr">
        <is>
          <t>HxA/AVDF</t>
        </is>
      </c>
      <c r="F160" s="3" t="inlineStr">
        <is>
          <t>Infrastructure - Miscellaneous (SMS/notifications)</t>
        </is>
      </c>
    </row>
    <row r="161">
      <c r="A161" s="2" t="n">
        <v>45842</v>
      </c>
      <c r="B161" s="3" t="inlineStr">
        <is>
          <t xml:space="preserve">AMERICAN               800-433-7300  TX </t>
        </is>
      </c>
      <c r="C161" s="4" t="n">
        <v>610.96</v>
      </c>
      <c r="D161" s="4" t="n">
        <v>149796.82</v>
      </c>
      <c r="E161" s="3" t="inlineStr">
        <is>
          <t>N/A</t>
        </is>
      </c>
      <c r="F161" s="3" t="inlineStr">
        <is>
          <t>Refund of incorrect charge on 7/2/2025</t>
        </is>
      </c>
    </row>
    <row r="162">
      <c r="A162" s="2" t="n">
        <v>45840</v>
      </c>
      <c r="B162" s="3" t="inlineStr">
        <is>
          <t>Google CLOUD D9ZB2H, Mountain View, CA</t>
        </is>
      </c>
      <c r="C162" s="4" t="n">
        <v>-48.94</v>
      </c>
      <c r="D162" s="4" t="n">
        <v>150875.01</v>
      </c>
      <c r="E162" s="3" t="inlineStr">
        <is>
          <t>HxA/AVDF</t>
        </is>
      </c>
      <c r="F162" s="3" t="inlineStr">
        <is>
          <t>Infrastructure - Server costs (GKE)</t>
        </is>
      </c>
    </row>
    <row r="163">
      <c r="A163" s="2" t="n">
        <v>45840</v>
      </c>
      <c r="B163" s="3" t="inlineStr">
        <is>
          <t>GOOGLE *GSUITE_swaybet, 650-253-0000, CA</t>
        </is>
      </c>
      <c r="C163" s="4" t="n">
        <v>-19.26</v>
      </c>
      <c r="D163" s="5" t="n">
        <v>150855.75</v>
      </c>
      <c r="E163" s="3" t="inlineStr">
        <is>
          <t>HxA/AVDF</t>
        </is>
      </c>
      <c r="F163" s="3" t="inlineStr">
        <is>
          <t>Infrastructure - Miscellaneous (email/workspace)</t>
        </is>
      </c>
    </row>
    <row r="164">
      <c r="A164" s="2" t="n">
        <v>45840</v>
      </c>
      <c r="B164" s="3" t="inlineStr">
        <is>
          <t>GOOGLE *CLOUD 6NV35T, 650-253-0000, CA</t>
        </is>
      </c>
      <c r="C164" s="4" t="n">
        <v>-415.66</v>
      </c>
      <c r="D164" s="4" t="n">
        <v>150440.09</v>
      </c>
      <c r="E164" s="3" t="inlineStr">
        <is>
          <t>HxA/AVDF</t>
        </is>
      </c>
      <c r="F164" s="3" t="inlineStr">
        <is>
          <t>Infrastructure - Server costs (GKE)</t>
        </is>
      </c>
    </row>
    <row r="165">
      <c r="A165" s="2" t="n">
        <v>45840</v>
      </c>
      <c r="B165" s="3" t="inlineStr">
        <is>
          <t>Google CLOUD zv8S5X, Mountain View, CA</t>
        </is>
      </c>
      <c r="C165" s="4" t="n">
        <v>-0.08</v>
      </c>
      <c r="D165" s="5" t="n">
        <v>150440.01</v>
      </c>
      <c r="E165" s="3" t="inlineStr">
        <is>
          <t>Ben Delo</t>
        </is>
      </c>
      <c r="F165" s="3" t="inlineStr">
        <is>
          <t>Infrastructure</t>
        </is>
      </c>
    </row>
    <row r="166">
      <c r="A166" s="2" t="n">
        <v>45840</v>
      </c>
      <c r="B166" s="3" t="inlineStr">
        <is>
          <t>AMERICAN AIRLINES, PHOENIX, AZ</t>
        </is>
      </c>
      <c r="C166" s="4" t="n">
        <v>-608.01</v>
      </c>
      <c r="D166" s="5" t="n">
        <v>149832</v>
      </c>
      <c r="E166" s="3" t="inlineStr">
        <is>
          <t>N/A</t>
        </is>
      </c>
      <c r="F166" s="3" t="inlineStr">
        <is>
          <t>Incorrect charge; refunded on 7/17/2025</t>
        </is>
      </c>
    </row>
    <row r="167">
      <c r="A167" s="2" t="n">
        <v>45840</v>
      </c>
      <c r="B167" s="3" t="inlineStr">
        <is>
          <t>AMERICAN AIRLINES, PHOENIX, AZ</t>
        </is>
      </c>
      <c r="C167" s="4" t="n">
        <v>-610.96</v>
      </c>
      <c r="D167" s="5" t="n">
        <v>149221.04</v>
      </c>
      <c r="E167" s="3" t="inlineStr">
        <is>
          <t>N/A</t>
        </is>
      </c>
      <c r="F167" s="3" t="inlineStr">
        <is>
          <t>Incorrect charge; refunded on 7/4/2025</t>
        </is>
      </c>
    </row>
    <row r="168">
      <c r="A168" s="2" t="n">
        <v>45839</v>
      </c>
      <c r="B168" s="3" t="inlineStr">
        <is>
          <t>Interest earned in June 2025</t>
        </is>
      </c>
      <c r="C168" s="4" t="n">
        <v>144.9</v>
      </c>
      <c r="D168" s="4" t="n">
        <v>153196.14</v>
      </c>
      <c r="E168" s="3" t="n"/>
      <c r="F168" s="3" t="n"/>
    </row>
    <row r="169">
      <c r="A169" s="2" t="n">
        <v>45839</v>
      </c>
      <c r="B169" s="3" t="inlineStr">
        <is>
          <t>UPWORK * -822754447, SAN FRANCISCO, CA</t>
        </is>
      </c>
      <c r="C169" s="4" t="n">
        <v>-2250.8</v>
      </c>
      <c r="D169" s="4" t="n">
        <v>150945.34</v>
      </c>
      <c r="E169" s="3" t="inlineStr">
        <is>
          <t>HxA/AVDF</t>
        </is>
      </c>
      <c r="F169" s="3" t="inlineStr">
        <is>
          <t>Development costs</t>
        </is>
      </c>
    </row>
    <row r="170">
      <c r="A170" s="2" t="n">
        <v>45839</v>
      </c>
      <c r="B170" s="3" t="inlineStr">
        <is>
          <t>GOOGLE *Google One, 650-253-0000, CA</t>
        </is>
      </c>
      <c r="C170" s="4" t="n">
        <v>-21.39</v>
      </c>
      <c r="D170" s="5" t="n">
        <v>150923.95</v>
      </c>
      <c r="E170" s="3" t="inlineStr">
        <is>
          <t>Ben Delo</t>
        </is>
      </c>
      <c r="F170" s="3" t="inlineStr">
        <is>
          <t>Cloud storage/AI subscription</t>
        </is>
      </c>
    </row>
    <row r="171">
      <c r="A171" s="2" t="n">
        <v>45838</v>
      </c>
      <c r="B171" s="3" t="inlineStr">
        <is>
          <t>TWILIO SENDGRID, SAN FRANCISCO, CA</t>
        </is>
      </c>
      <c r="C171" s="4" t="n">
        <v>-0.33</v>
      </c>
      <c r="D171" s="4" t="n">
        <v>153051.24</v>
      </c>
      <c r="E171" s="3" t="inlineStr">
        <is>
          <t>Ben Delo</t>
        </is>
      </c>
      <c r="F171" s="3" t="inlineStr">
        <is>
          <t>Infrastructure</t>
        </is>
      </c>
    </row>
    <row r="172">
      <c r="A172" s="2" t="n">
        <v>45836</v>
      </c>
      <c r="B172" s="3" t="inlineStr">
        <is>
          <t>TWILIO INC, SAN FRANCISCO, CA</t>
        </is>
      </c>
      <c r="C172" s="4" t="n">
        <v>-10</v>
      </c>
      <c r="D172" s="4" t="n">
        <v>154125.78</v>
      </c>
      <c r="E172" s="3" t="inlineStr">
        <is>
          <t>HxA/AVDF</t>
        </is>
      </c>
      <c r="F172" s="3" t="inlineStr">
        <is>
          <t>Infrastructure - Miscellaneous (SMS/notifications)</t>
        </is>
      </c>
    </row>
    <row r="173">
      <c r="A173" s="2" t="n">
        <v>45836</v>
      </c>
      <c r="B173" s="3" t="inlineStr">
        <is>
          <t>MARRIOTT BROOKLYN BR, BROOKLYN, NY</t>
        </is>
      </c>
      <c r="C173" s="4" t="n">
        <v>-1074.21</v>
      </c>
      <c r="D173" s="4" t="n">
        <v>153051.57</v>
      </c>
      <c r="E173" s="3" t="inlineStr">
        <is>
          <t>Snider</t>
        </is>
      </c>
      <c r="F173" s="3" t="n"/>
    </row>
    <row r="174">
      <c r="A174" s="2" t="n">
        <v>45835</v>
      </c>
      <c r="B174" s="3" t="inlineStr">
        <is>
          <t>Arthur Vining Da, 202506</t>
        </is>
      </c>
      <c r="C174" s="4" t="n">
        <v>2788.48</v>
      </c>
      <c r="D174" s="4" t="n">
        <v>154135.78</v>
      </c>
      <c r="E174" s="3" t="inlineStr">
        <is>
          <t>AVDF</t>
        </is>
      </c>
      <c r="F174" s="3" t="n"/>
    </row>
    <row r="175">
      <c r="A175" s="2" t="n">
        <v>45834</v>
      </c>
      <c r="B175" s="3" t="inlineStr">
        <is>
          <t>The Lindy Snider, Receivable</t>
        </is>
      </c>
      <c r="C175" s="4" t="n">
        <v>25000</v>
      </c>
      <c r="D175" s="4" t="n">
        <v>151347.3</v>
      </c>
      <c r="E175" s="3" t="inlineStr">
        <is>
          <t>Snider</t>
        </is>
      </c>
      <c r="F175" s="3" t="inlineStr">
        <is>
          <t>Lindy Snider Foundation grant</t>
        </is>
      </c>
    </row>
    <row r="176">
      <c r="A176" s="2" t="n">
        <v>45833</v>
      </c>
      <c r="B176" s="3" t="inlineStr">
        <is>
          <t>SENTRY, SAN FRANCISCO, CA</t>
        </is>
      </c>
      <c r="C176" s="4" t="n">
        <v>-35.42</v>
      </c>
      <c r="D176" s="4" t="n">
        <v>126453.3</v>
      </c>
      <c r="E176" s="3" t="inlineStr">
        <is>
          <t>HxA/AVDF</t>
        </is>
      </c>
      <c r="F176" s="3" t="inlineStr">
        <is>
          <t>Infrastructure - Miscellaneous (error tracking)</t>
        </is>
      </c>
    </row>
    <row r="177">
      <c r="A177" s="2" t="n">
        <v>45833</v>
      </c>
      <c r="B177" s="3" t="inlineStr">
        <is>
          <t>OPENAI, SAN FRANCISCO, CA</t>
        </is>
      </c>
      <c r="C177" s="4" t="n">
        <v>-106</v>
      </c>
      <c r="D177" s="4" t="n">
        <v>126347.3</v>
      </c>
      <c r="E177" s="3" t="inlineStr">
        <is>
          <t>HxA/AVDF</t>
        </is>
      </c>
      <c r="F177" s="3" t="inlineStr">
        <is>
          <t>Infrastructure - AI costs (OpenAI API)</t>
        </is>
      </c>
    </row>
    <row r="178">
      <c r="A178" s="2" t="n">
        <v>45832</v>
      </c>
      <c r="B178" s="3" t="inlineStr">
        <is>
          <t>UPWORK * -820545441, SAN FRANCISCO, CA</t>
        </is>
      </c>
      <c r="C178" s="4" t="n">
        <v>-1911.38</v>
      </c>
      <c r="D178" s="4" t="n">
        <v>126488.72</v>
      </c>
      <c r="E178" s="3" t="inlineStr">
        <is>
          <t>Tools</t>
        </is>
      </c>
      <c r="F178" s="3" t="inlineStr">
        <is>
          <t>Instructor Insights Development</t>
        </is>
      </c>
    </row>
    <row r="179">
      <c r="A179" s="2" t="n">
        <v>45831</v>
      </c>
      <c r="B179" s="3" t="inlineStr">
        <is>
          <t>The Craig Snider, Receivable</t>
        </is>
      </c>
      <c r="C179" s="4" t="n">
        <v>50000</v>
      </c>
      <c r="D179" s="4" t="n">
        <v>128445.1</v>
      </c>
      <c r="E179" s="3" t="inlineStr">
        <is>
          <t>Snider</t>
        </is>
      </c>
      <c r="F179" s="3" t="inlineStr">
        <is>
          <t>Craig Snider Foundation grant</t>
        </is>
      </c>
    </row>
    <row r="180">
      <c r="A180" s="2" t="n">
        <v>45831</v>
      </c>
      <c r="B180" s="3" t="inlineStr">
        <is>
          <t>BILL.COM LLC, BILLING</t>
        </is>
      </c>
      <c r="C180" s="4" t="n">
        <v>-45</v>
      </c>
      <c r="D180" s="5" t="n">
        <v>128400.1</v>
      </c>
      <c r="E180" s="3" t="inlineStr">
        <is>
          <t>Ben Delo</t>
        </is>
      </c>
      <c r="F180" s="3" t="inlineStr">
        <is>
          <t>Payment processing fees</t>
        </is>
      </c>
    </row>
    <row r="181">
      <c r="A181" s="2" t="n">
        <v>45830</v>
      </c>
      <c r="B181" s="3" t="inlineStr">
        <is>
          <t>TWILIO INC, SAN FRANCISCO, CA</t>
        </is>
      </c>
      <c r="C181" s="4" t="n">
        <v>-11.46</v>
      </c>
      <c r="D181" s="4" t="n">
        <v>78445.09999999999</v>
      </c>
      <c r="E181" s="3" t="inlineStr">
        <is>
          <t>HxA/AVDF</t>
        </is>
      </c>
      <c r="F181" s="3" t="inlineStr">
        <is>
          <t>Infrastructure - Miscellaneous (SMS/notifications)</t>
        </is>
      </c>
    </row>
    <row r="182">
      <c r="A182" s="2" t="n">
        <v>45829</v>
      </c>
      <c r="B182" s="3" t="inlineStr">
        <is>
          <t>CURSOR, AI POWERED IDE, NEW YORK, NY</t>
        </is>
      </c>
      <c r="C182" s="4" t="n">
        <v>-21.4</v>
      </c>
      <c r="D182" s="4" t="n">
        <v>78456.56</v>
      </c>
      <c r="E182" s="3" t="inlineStr">
        <is>
          <t>HxA/AVDF</t>
        </is>
      </c>
      <c r="F182" s="3" t="inlineStr">
        <is>
          <t>Development costs</t>
        </is>
      </c>
    </row>
    <row r="183">
      <c r="A183" s="2" t="n">
        <v>45828</v>
      </c>
      <c r="B183" s="3" t="inlineStr">
        <is>
          <t>TWINR INC., VAUDREUIL-DOR, QC</t>
        </is>
      </c>
      <c r="C183" s="4" t="n">
        <v>-2</v>
      </c>
      <c r="D183" s="5" t="n">
        <v>78565.45999999999</v>
      </c>
      <c r="E183" s="3" t="inlineStr">
        <is>
          <t>HxA/AVDF</t>
        </is>
      </c>
      <c r="F183" s="3" t="inlineStr">
        <is>
          <t>Development costs</t>
        </is>
      </c>
    </row>
    <row r="184">
      <c r="A184" s="2" t="n">
        <v>45828</v>
      </c>
      <c r="B184" s="3" t="inlineStr">
        <is>
          <t>TWINR INC., +14388807741, CAN</t>
        </is>
      </c>
      <c r="C184" s="4" t="n">
        <v>-87.5</v>
      </c>
      <c r="D184" s="4" t="n">
        <v>78477.95999999999</v>
      </c>
      <c r="E184" s="3" t="inlineStr">
        <is>
          <t>HxA/AVDF</t>
        </is>
      </c>
      <c r="F184" s="3" t="inlineStr">
        <is>
          <t>Development costs</t>
        </is>
      </c>
    </row>
    <row r="185">
      <c r="A185" s="2" t="n">
        <v>45827</v>
      </c>
      <c r="B185" s="3" t="inlineStr">
        <is>
          <t>AMERICAN AIRLINES, PHOENIX, AZ</t>
        </is>
      </c>
      <c r="C185" s="4" t="n">
        <v>-397.23</v>
      </c>
      <c r="D185" s="5" t="n">
        <v>78751.09999999999</v>
      </c>
      <c r="E185" s="3" t="inlineStr">
        <is>
          <t>N/A</t>
        </is>
      </c>
      <c r="F185" s="3" t="inlineStr">
        <is>
          <t>Incorrect charge; refunded on 6/19/2025</t>
        </is>
      </c>
    </row>
    <row r="186">
      <c r="A186" s="2" t="n">
        <v>45827</v>
      </c>
      <c r="B186" s="3" t="inlineStr">
        <is>
          <t>AMERICAN AIRLINES, PHOENIX, AZ</t>
        </is>
      </c>
      <c r="C186" s="4" t="n">
        <v>-580.87</v>
      </c>
      <c r="D186" s="4" t="n">
        <v>78170.23</v>
      </c>
      <c r="E186" s="3" t="inlineStr">
        <is>
          <t>Snider</t>
        </is>
      </c>
      <c r="F186" s="3" t="n"/>
    </row>
    <row r="187">
      <c r="A187" s="2" t="n">
        <v>45827</v>
      </c>
      <c r="B187" s="3" t="inlineStr">
        <is>
          <t xml:space="preserve">AMERICAN               800-433-7300  TX </t>
        </is>
      </c>
      <c r="C187" s="4" t="n">
        <v>397.23</v>
      </c>
      <c r="D187" s="5" t="n">
        <v>78567.45999999999</v>
      </c>
      <c r="E187" s="3" t="inlineStr">
        <is>
          <t>N/A</t>
        </is>
      </c>
      <c r="F187" s="3" t="inlineStr">
        <is>
          <t>Refund of incorrect charge on 6/19/2025</t>
        </is>
      </c>
    </row>
    <row r="188">
      <c r="A188" s="2" t="n">
        <v>45825</v>
      </c>
      <c r="B188" s="3" t="inlineStr">
        <is>
          <t>TWINR INC., +14388807741, CAN</t>
        </is>
      </c>
      <c r="C188" s="4" t="n">
        <v>-93.75</v>
      </c>
      <c r="D188" s="4" t="n">
        <v>82126.03999999999</v>
      </c>
      <c r="E188" s="3" t="inlineStr">
        <is>
          <t>HxA/AVDF</t>
        </is>
      </c>
      <c r="F188" s="3" t="inlineStr">
        <is>
          <t>Development costs</t>
        </is>
      </c>
    </row>
    <row r="189">
      <c r="A189" s="2" t="n">
        <v>45825</v>
      </c>
      <c r="B189" s="3" t="inlineStr">
        <is>
          <t>GOOGLE *CLOUD 5NBJR5, 650-253-0000, CA</t>
        </is>
      </c>
      <c r="C189" s="4" t="n">
        <v>-200</v>
      </c>
      <c r="D189" s="4" t="n">
        <v>81926.03999999999</v>
      </c>
      <c r="E189" s="3" t="inlineStr">
        <is>
          <t>HxA/AVDF</t>
        </is>
      </c>
      <c r="F189" s="3" t="inlineStr">
        <is>
          <t>Infrastructure - Server costs (GKE)</t>
        </is>
      </c>
    </row>
    <row r="190">
      <c r="A190" s="2" t="n">
        <v>45825</v>
      </c>
      <c r="B190" s="3" t="inlineStr">
        <is>
          <t>TWINR INC., +14388807741, CAN</t>
        </is>
      </c>
      <c r="C190" s="4" t="n">
        <v>-2</v>
      </c>
      <c r="D190" s="5" t="n">
        <v>81924.03999999999</v>
      </c>
      <c r="E190" s="3" t="inlineStr">
        <is>
          <t>HxA/AVDF</t>
        </is>
      </c>
      <c r="F190" s="3" t="inlineStr">
        <is>
          <t>Development costs</t>
        </is>
      </c>
    </row>
    <row r="191">
      <c r="A191" s="2" t="n">
        <v>45825</v>
      </c>
      <c r="B191" s="3" t="inlineStr">
        <is>
          <t>UPWORK * -818381116, SAN FRANCISCO, CA</t>
        </is>
      </c>
      <c r="C191" s="4" t="n">
        <v>-2775.71</v>
      </c>
      <c r="D191" s="5" t="n">
        <v>79148.32999999999</v>
      </c>
      <c r="E191" s="3" t="inlineStr">
        <is>
          <t>Tools</t>
        </is>
      </c>
      <c r="F191" s="3" t="inlineStr">
        <is>
          <t>Instructor Insights Development</t>
        </is>
      </c>
    </row>
    <row r="192">
      <c r="A192" s="2" t="n">
        <v>45824</v>
      </c>
      <c r="B192" s="3" t="inlineStr">
        <is>
          <t>HEALTH INS PREMIUM PMT, WEATOGUE, CT</t>
        </is>
      </c>
      <c r="C192" s="4" t="n">
        <v>-1081.82</v>
      </c>
      <c r="D192" s="4" t="n">
        <v>82219.78999999999</v>
      </c>
      <c r="E192" s="3" t="inlineStr">
        <is>
          <t>N/A</t>
        </is>
      </c>
      <c r="F192" s="3" t="inlineStr">
        <is>
          <t>Inadvertent charge to Simon Cullen's health insurance; Simon repayed on 10/1/2025</t>
        </is>
      </c>
    </row>
    <row r="193">
      <c r="A193" s="2" t="n">
        <v>45822</v>
      </c>
      <c r="B193" s="3" t="inlineStr">
        <is>
          <t>TWILIO INC, +18778894546, CA</t>
        </is>
      </c>
      <c r="C193" s="4" t="n">
        <v>-10.01</v>
      </c>
      <c r="D193" s="4" t="n">
        <v>83301.61</v>
      </c>
      <c r="E193" s="3" t="inlineStr">
        <is>
          <t>HxA/AVDF</t>
        </is>
      </c>
      <c r="F193" s="3" t="inlineStr">
        <is>
          <t>Infrastructure - Miscellaneous (SMS/notifications)</t>
        </is>
      </c>
    </row>
    <row r="194">
      <c r="A194" s="2" t="n">
        <v>45821</v>
      </c>
      <c r="B194" s="3" t="inlineStr">
        <is>
          <t>Amazon.com, Amzn.com/bill, WA</t>
        </is>
      </c>
      <c r="C194" s="4" t="n">
        <v>-51.94</v>
      </c>
      <c r="D194" s="4" t="n">
        <v>8311.620000000001</v>
      </c>
      <c r="E194" s="3" t="inlineStr">
        <is>
          <t>Snider</t>
        </is>
      </c>
      <c r="F194" s="3" t="inlineStr">
        <is>
          <t>Office supplies</t>
        </is>
      </c>
    </row>
    <row r="195">
      <c r="A195" s="2" t="n">
        <v>45821</v>
      </c>
      <c r="B195" s="3" t="inlineStr">
        <is>
          <t>Digital Harbor F, Receivable</t>
        </is>
      </c>
      <c r="C195" s="4" t="n">
        <v>75000</v>
      </c>
      <c r="D195" s="4" t="n">
        <v>83311.62</v>
      </c>
      <c r="E195" s="3" t="inlineStr">
        <is>
          <t>Tools</t>
        </is>
      </c>
      <c r="F195" s="3" t="inlineStr">
        <is>
          <t>First installment of Tools Competition Prize</t>
        </is>
      </c>
    </row>
    <row r="196">
      <c r="A196" s="2" t="n">
        <v>45818</v>
      </c>
      <c r="B196" s="3" t="inlineStr">
        <is>
          <t>UPWORK * -816238517, SAN FRANCISCO, CA</t>
        </is>
      </c>
      <c r="C196" s="4" t="n">
        <v>-2754.13</v>
      </c>
      <c r="D196" s="4" t="n">
        <v>8363.560000000001</v>
      </c>
      <c r="E196" s="3" t="inlineStr">
        <is>
          <t>HxA/AVDF</t>
        </is>
      </c>
      <c r="F196" s="3" t="inlineStr">
        <is>
          <t>Development costs</t>
        </is>
      </c>
    </row>
    <row r="197">
      <c r="A197" s="2" t="n">
        <v>45817</v>
      </c>
      <c r="B197" s="3" t="inlineStr">
        <is>
          <t>OPENAI, +14158799686, CA</t>
        </is>
      </c>
      <c r="C197" s="4" t="n">
        <v>-150.01</v>
      </c>
      <c r="D197" s="4" t="n">
        <v>11137.69</v>
      </c>
      <c r="E197" s="3" t="inlineStr">
        <is>
          <t>HxA/AVDF</t>
        </is>
      </c>
      <c r="F197" s="3" t="inlineStr">
        <is>
          <t>Infrastructure - AI costs (OpenAI API)</t>
        </is>
      </c>
    </row>
    <row r="198">
      <c r="A198" s="2" t="n">
        <v>45817</v>
      </c>
      <c r="B198" s="3" t="inlineStr">
        <is>
          <t>OPENAI *CHATGPT SUBSCR, +14158799686, CA</t>
        </is>
      </c>
      <c r="C198" s="4" t="n">
        <v>-20</v>
      </c>
      <c r="D198" s="5" t="n">
        <v>11117.69</v>
      </c>
      <c r="E198" s="3" t="inlineStr">
        <is>
          <t>HxA/AVDF</t>
        </is>
      </c>
      <c r="F198" s="3" t="inlineStr">
        <is>
          <t>Development costs - Research tool</t>
        </is>
      </c>
    </row>
    <row r="199">
      <c r="A199" s="2" t="n">
        <v>45816</v>
      </c>
      <c r="B199" s="3" t="inlineStr">
        <is>
          <t>GOOGLE *CLOUD 3V4SRP, 650-253-0000, CA</t>
        </is>
      </c>
      <c r="C199" s="4" t="n">
        <v>-100</v>
      </c>
      <c r="D199" s="4" t="n">
        <v>11287.7</v>
      </c>
      <c r="E199" s="3" t="inlineStr">
        <is>
          <t>HxA/AVDF</t>
        </is>
      </c>
      <c r="F199" s="3" t="inlineStr">
        <is>
          <t>Infrastructure - Server costs (GKE)</t>
        </is>
      </c>
    </row>
    <row r="200">
      <c r="A200" s="2" t="n">
        <v>45815</v>
      </c>
      <c r="B200" s="3" t="inlineStr">
        <is>
          <t>DELTA, 800-221-1212, GA</t>
        </is>
      </c>
      <c r="C200" s="4" t="n">
        <v>-552.55</v>
      </c>
      <c r="D200" s="4" t="n">
        <v>11950.26</v>
      </c>
      <c r="E200" s="3" t="inlineStr">
        <is>
          <t>Snider</t>
        </is>
      </c>
      <c r="F200" s="3" t="n"/>
    </row>
    <row r="201">
      <c r="A201" s="2" t="n">
        <v>45815</v>
      </c>
      <c r="B201" s="3" t="inlineStr">
        <is>
          <t>DELTA, 800-221-1212, GA</t>
        </is>
      </c>
      <c r="C201" s="4" t="n">
        <v>-552.55</v>
      </c>
      <c r="D201" s="5" t="n">
        <v>11397.71</v>
      </c>
      <c r="E201" s="3" t="inlineStr">
        <is>
          <t>Snider</t>
        </is>
      </c>
      <c r="F201" s="3" t="n"/>
    </row>
    <row r="202">
      <c r="A202" s="2" t="n">
        <v>45815</v>
      </c>
      <c r="B202" s="3" t="inlineStr">
        <is>
          <t>TWILIO INC, +18778894546, CA</t>
        </is>
      </c>
      <c r="C202" s="4" t="n">
        <v>-10.01</v>
      </c>
      <c r="D202" s="4" t="n">
        <v>11387.7</v>
      </c>
      <c r="E202" s="3" t="inlineStr">
        <is>
          <t>HxA/AVDF</t>
        </is>
      </c>
      <c r="F202" s="3" t="inlineStr">
        <is>
          <t>Infrastructure - Miscellaneous (SMS/notifications)</t>
        </is>
      </c>
    </row>
    <row r="203">
      <c r="A203" s="2" t="n">
        <v>45813</v>
      </c>
      <c r="B203" s="3" t="inlineStr">
        <is>
          <t>UPWORK * -814655596, SAN FRANCISCO, CA</t>
        </is>
      </c>
      <c r="C203" s="4" t="n">
        <v>-150.06</v>
      </c>
      <c r="D203" s="4" t="n">
        <v>12513.07</v>
      </c>
      <c r="E203" s="3" t="inlineStr">
        <is>
          <t>HxA/AVDF</t>
        </is>
      </c>
      <c r="F203" s="3" t="inlineStr">
        <is>
          <t>Development costs</t>
        </is>
      </c>
    </row>
    <row r="204">
      <c r="A204" s="2" t="n">
        <v>45813</v>
      </c>
      <c r="B204" s="3" t="inlineStr">
        <is>
          <t>TWILIO INC, +18778894546, CA</t>
        </is>
      </c>
      <c r="C204" s="4" t="n">
        <v>-10.26</v>
      </c>
      <c r="D204" s="5" t="n">
        <v>12502.81</v>
      </c>
      <c r="E204" s="3" t="inlineStr">
        <is>
          <t>HxA/AVDF</t>
        </is>
      </c>
      <c r="F204" s="3" t="inlineStr">
        <is>
          <t>Infrastructure - Miscellaneous (SMS/notifications)</t>
        </is>
      </c>
    </row>
    <row r="205">
      <c r="A205" s="2" t="n">
        <v>45812</v>
      </c>
      <c r="B205" s="3" t="inlineStr">
        <is>
          <t>TWILIO SENDGRID, +18778894546, CA</t>
        </is>
      </c>
      <c r="C205" s="4" t="n">
        <v>-19.95</v>
      </c>
      <c r="D205" s="4" t="n">
        <v>12663.13</v>
      </c>
      <c r="E205" s="3" t="inlineStr">
        <is>
          <t>HxA/AVDF</t>
        </is>
      </c>
      <c r="F205" s="3" t="inlineStr">
        <is>
          <t>Infrastructure - Miscellaneous (SMS/notifications)</t>
        </is>
      </c>
    </row>
    <row r="206">
      <c r="A206" s="2" t="n">
        <v>45811</v>
      </c>
      <c r="B206" s="3" t="inlineStr">
        <is>
          <t>UPWORK * -814085609, SAN FRANCISCO, CA</t>
        </is>
      </c>
      <c r="C206" s="4" t="n">
        <v>-2197.43</v>
      </c>
      <c r="D206" s="4" t="n">
        <v>14057.85</v>
      </c>
      <c r="E206" s="3" t="inlineStr">
        <is>
          <t>HxA/AVDF</t>
        </is>
      </c>
      <c r="F206" s="3" t="inlineStr">
        <is>
          <t>Development costs</t>
        </is>
      </c>
    </row>
    <row r="207">
      <c r="A207" s="2" t="n">
        <v>45811</v>
      </c>
      <c r="B207" s="3" t="inlineStr">
        <is>
          <t>HILTON ADVPURCH8002367, MEMPHIS, TN</t>
        </is>
      </c>
      <c r="C207" s="4" t="n">
        <v>-1374.77</v>
      </c>
      <c r="D207" s="5" t="n">
        <v>12683.08</v>
      </c>
      <c r="E207" s="3" t="inlineStr">
        <is>
          <t>AVDF</t>
        </is>
      </c>
      <c r="F207" s="3" t="inlineStr">
        <is>
          <t>IHE conference; reimbursed by AVDF on 6/27/2025</t>
        </is>
      </c>
    </row>
    <row r="208">
      <c r="A208" s="2" t="n">
        <v>45810</v>
      </c>
      <c r="B208" s="3" t="inlineStr">
        <is>
          <t>DELTA, DELTA.COM, CA</t>
        </is>
      </c>
      <c r="C208" s="4" t="n">
        <v>-44.99</v>
      </c>
      <c r="D208" s="4" t="n">
        <v>17691.27</v>
      </c>
      <c r="E208" s="3" t="inlineStr">
        <is>
          <t>AVDF</t>
        </is>
      </c>
      <c r="F208" s="3" t="inlineStr">
        <is>
          <t>IHE conference; not reimbursed by AVDF</t>
        </is>
      </c>
    </row>
    <row r="209">
      <c r="A209" s="2" t="n">
        <v>45810</v>
      </c>
      <c r="B209" s="3" t="inlineStr">
        <is>
          <t>GOOGLE*CLOUD JWQ2KX, CC GOOGLE.COM, CA</t>
        </is>
      </c>
      <c r="C209" s="4" t="n">
        <v>-141.21</v>
      </c>
      <c r="D209" s="5" t="n">
        <v>17550.06</v>
      </c>
      <c r="E209" s="3" t="inlineStr">
        <is>
          <t>HxA/AVDF</t>
        </is>
      </c>
      <c r="F209" s="3" t="inlineStr">
        <is>
          <t>Infrastructure - Server costs (GKE)</t>
        </is>
      </c>
    </row>
    <row r="210">
      <c r="A210" s="2" t="n">
        <v>45810</v>
      </c>
      <c r="B210" s="3" t="inlineStr">
        <is>
          <t>Google CLOUD BF9WRT, Mountain View, CA</t>
        </is>
      </c>
      <c r="C210" s="4" t="n">
        <v>-3.55</v>
      </c>
      <c r="D210" s="5" t="n">
        <v>17546.51</v>
      </c>
      <c r="E210" s="3" t="inlineStr">
        <is>
          <t>HxA/AVDF</t>
        </is>
      </c>
      <c r="F210" s="3" t="inlineStr">
        <is>
          <t>Infrastructure - Server costs (GKE)</t>
        </is>
      </c>
    </row>
    <row r="211">
      <c r="A211" s="2" t="n">
        <v>45810</v>
      </c>
      <c r="B211" s="3" t="inlineStr">
        <is>
          <t>GOOGLE *GSUITE_swaybet, 650-253-0000, CA</t>
        </is>
      </c>
      <c r="C211" s="4" t="n">
        <v>-19.26</v>
      </c>
      <c r="D211" s="5" t="n">
        <v>17527.25</v>
      </c>
      <c r="E211" s="3" t="inlineStr">
        <is>
          <t>HxA/AVDF</t>
        </is>
      </c>
      <c r="F211" s="3" t="inlineStr">
        <is>
          <t>Infrastructure - Miscellaneous (email/workspace)</t>
        </is>
      </c>
    </row>
    <row r="212">
      <c r="A212" s="2" t="n">
        <v>45810</v>
      </c>
      <c r="B212" s="3" t="inlineStr">
        <is>
          <t>DELTA INTERNET DELTA.C, ATLANTA, GA</t>
        </is>
      </c>
      <c r="C212" s="4" t="n">
        <v>-1196.98</v>
      </c>
      <c r="D212" s="5" t="n">
        <v>16330.27</v>
      </c>
      <c r="E212" s="3" t="inlineStr">
        <is>
          <t>AVDF</t>
        </is>
      </c>
      <c r="F212" s="3" t="inlineStr">
        <is>
          <t>IHE conference; reimbursed by AVDF on 6/27/2025</t>
        </is>
      </c>
    </row>
    <row r="213">
      <c r="A213" s="2" t="n">
        <v>45810</v>
      </c>
      <c r="B213" s="3" t="inlineStr">
        <is>
          <t>DELTA INTERNET DELTA.C, ATLANTA, GA</t>
        </is>
      </c>
      <c r="C213" s="4" t="n">
        <v>-74.98999999999999</v>
      </c>
      <c r="D213" s="5" t="n">
        <v>16255.28</v>
      </c>
      <c r="E213" s="3" t="inlineStr">
        <is>
          <t>Ben Delo</t>
        </is>
      </c>
      <c r="F213" s="3" t="inlineStr">
        <is>
          <t>IHE conference; not reimbursed by AVDF</t>
        </is>
      </c>
    </row>
    <row r="214">
      <c r="A214" s="2" t="n">
        <v>45809</v>
      </c>
      <c r="B214" s="3" t="inlineStr">
        <is>
          <t>Interest earned in May 2025</t>
        </is>
      </c>
      <c r="C214" s="4" t="n">
        <v>4.1</v>
      </c>
      <c r="D214" s="4" t="n">
        <v>17736.26</v>
      </c>
      <c r="E214" s="3" t="n"/>
      <c r="F214" s="3" t="n"/>
    </row>
    <row r="215">
      <c r="A215" s="2" t="n">
        <v>45806</v>
      </c>
      <c r="B215" s="3" t="inlineStr">
        <is>
          <t>UPWORK * -812363145, SAN FRANCISCO, CA</t>
        </is>
      </c>
      <c r="C215" s="4" t="n">
        <v>-2133.57</v>
      </c>
      <c r="D215" s="4" t="n">
        <v>17866.43</v>
      </c>
      <c r="E215" s="3" t="inlineStr">
        <is>
          <t>Ben Delo</t>
        </is>
      </c>
      <c r="F215" s="3" t="inlineStr">
        <is>
          <t>Development costs</t>
        </is>
      </c>
    </row>
    <row r="216">
      <c r="A216" s="2" t="n">
        <v>45806</v>
      </c>
      <c r="B216" s="3" t="inlineStr">
        <is>
          <t>UPWORK * -812363552, SAN FRANCISCO, CA</t>
        </is>
      </c>
      <c r="C216" s="4" t="n">
        <v>-134.27</v>
      </c>
      <c r="D216" s="5" t="n">
        <v>17732.16</v>
      </c>
      <c r="E216" s="3" t="inlineStr">
        <is>
          <t>Ben Delo</t>
        </is>
      </c>
      <c r="F216" s="3" t="inlineStr">
        <is>
          <t>Development costs</t>
        </is>
      </c>
    </row>
    <row r="217">
      <c r="A217" s="2" t="n">
        <v>45805</v>
      </c>
      <c r="B217" s="3" t="inlineStr">
        <is>
          <t>Transfer from Ally Bank (6134)</t>
        </is>
      </c>
      <c r="C217" s="4" t="n">
        <v>20000</v>
      </c>
      <c r="D217" s="4" t="n">
        <v>20000</v>
      </c>
      <c r="E217" s="3" t="inlineStr">
        <is>
          <t>Ben Delo</t>
        </is>
      </c>
      <c r="F217" s="3" t="inlineStr">
        <is>
          <t>Ben Delo funds</t>
        </is>
      </c>
    </row>
    <row r="218">
      <c r="A218" s="2" t="n">
        <v>45797</v>
      </c>
      <c r="B218" s="3" t="inlineStr">
        <is>
          <t>Bill.com, ACCTVERIFY</t>
        </is>
      </c>
      <c r="C218" s="4" t="n">
        <v>-0.67</v>
      </c>
      <c r="D218" s="4" t="n">
        <v>-0.67</v>
      </c>
      <c r="E218" s="3" t="inlineStr">
        <is>
          <t>N/A</t>
        </is>
      </c>
      <c r="F218" s="3" t="inlineStr">
        <is>
          <t>Payment processing fee</t>
        </is>
      </c>
    </row>
    <row r="219">
      <c r="A219" s="2" t="n">
        <v>45797</v>
      </c>
      <c r="B219" s="3" t="inlineStr">
        <is>
          <t>Bill.com, ACCTVERIFY</t>
        </is>
      </c>
      <c r="C219" s="4" t="n">
        <v>0.67</v>
      </c>
      <c r="D219" s="5" t="n">
        <v>0</v>
      </c>
      <c r="E219" s="3" t="inlineStr">
        <is>
          <t>N/A</t>
        </is>
      </c>
      <c r="F219" s="3" t="inlineStr">
        <is>
          <t>Refund of payment processing fee from 5/20/2025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zoomScale="144" workbookViewId="0">
      <pane ySplit="4" topLeftCell="A104" activePane="bottomLeft" state="frozen"/>
      <selection pane="bottomLeft" activeCell="A2" sqref="A2:D2"/>
    </sheetView>
  </sheetViews>
  <sheetFormatPr baseColWidth="10" defaultColWidth="8.83203125" defaultRowHeight="15"/>
  <cols>
    <col width="12" customWidth="1" style="41" min="1" max="1"/>
    <col width="50" customWidth="1" style="41" min="2" max="2"/>
    <col width="15" customWidth="1" style="41" min="3" max="3"/>
    <col width="40" customWidth="1" style="41" min="4" max="4"/>
  </cols>
  <sheetData>
    <row r="1" ht="19" customHeight="1" s="41">
      <c r="A1" s="43" t="inlineStr">
        <is>
          <t>HxA/AVDF Grant - Expense Tracking</t>
        </is>
      </c>
    </row>
    <row r="2">
      <c r="A2" s="40" t="inlineStr">
        <is>
          <t>Grant Period: 6/1/2025 - 11/30/2026</t>
        </is>
      </c>
    </row>
    <row r="4">
      <c r="A4" s="29" t="inlineStr">
        <is>
          <t>Date</t>
        </is>
      </c>
      <c r="B4" s="29" t="inlineStr">
        <is>
          <t>Description</t>
        </is>
      </c>
      <c r="C4" s="29" t="inlineStr">
        <is>
          <t>Amount</t>
        </is>
      </c>
      <c r="D4" s="29" t="inlineStr">
        <is>
          <t>Notes</t>
        </is>
      </c>
    </row>
    <row r="5">
      <c r="A5" s="44" t="inlineStr">
        <is>
          <t>Infrastructure Costs:</t>
        </is>
      </c>
    </row>
    <row r="6">
      <c r="A6" s="30" t="n">
        <v>45934</v>
      </c>
      <c r="B6" s="31" t="inlineStr">
        <is>
          <t>TWILIO SENDGRID, SAN FRANCISCO, CA</t>
        </is>
      </c>
      <c r="C6" s="32" t="n">
        <v>-24.95</v>
      </c>
      <c r="D6" s="31" t="inlineStr">
        <is>
          <t>Miscellaneous (SMS/notifications)</t>
        </is>
      </c>
    </row>
    <row r="7">
      <c r="A7" s="30" t="n">
        <v>45932</v>
      </c>
      <c r="B7" s="31" t="inlineStr">
        <is>
          <t>GOOGLE *CLOUD 3vKNVH, 650-253-0000, CA</t>
        </is>
      </c>
      <c r="C7" s="32" t="n">
        <v>-867.92</v>
      </c>
      <c r="D7" s="31" t="inlineStr">
        <is>
          <t>Server costs (GKE)</t>
        </is>
      </c>
    </row>
    <row r="8">
      <c r="A8" s="30" t="n">
        <v>45932</v>
      </c>
      <c r="B8" s="31" t="inlineStr">
        <is>
          <t>GOOGLE *GSUITE_swaybet, 650-253-0000, CA</t>
        </is>
      </c>
      <c r="C8" s="32" t="n">
        <v>-22.47</v>
      </c>
      <c r="D8" s="31" t="inlineStr">
        <is>
          <t>Miscellaneous (email/workspace)</t>
        </is>
      </c>
    </row>
    <row r="9">
      <c r="A9" s="30" t="n">
        <v>45929</v>
      </c>
      <c r="B9" s="31" t="inlineStr">
        <is>
          <t>TWILIO INC, SAN FRANCISCO, CA</t>
        </is>
      </c>
      <c r="C9" s="32" t="n">
        <v>-10.01</v>
      </c>
      <c r="D9" s="31" t="inlineStr">
        <is>
          <t>Miscellaneous (SMS/notifications)</t>
        </is>
      </c>
    </row>
    <row r="10">
      <c r="A10" s="30" t="n">
        <v>45927</v>
      </c>
      <c r="B10" s="31" t="inlineStr">
        <is>
          <t>TWILIO INC, SAN FRANCISCO, CA</t>
        </is>
      </c>
      <c r="C10" s="32" t="n">
        <v>-10.01</v>
      </c>
      <c r="D10" s="31" t="inlineStr">
        <is>
          <t>Miscellaneous (SMS/notifications)</t>
        </is>
      </c>
    </row>
    <row r="11">
      <c r="A11" s="30" t="n">
        <v>45925</v>
      </c>
      <c r="B11" s="31" t="inlineStr">
        <is>
          <t>SENTRY, SAN FRANCISCO, CA</t>
        </is>
      </c>
      <c r="C11" s="32" t="n">
        <v>-41.73</v>
      </c>
      <c r="D11" s="31" t="inlineStr">
        <is>
          <t>Miscellaneous (error tracking)</t>
        </is>
      </c>
    </row>
    <row r="12">
      <c r="A12" s="30" t="n">
        <v>45925</v>
      </c>
      <c r="B12" s="31" t="inlineStr">
        <is>
          <t>TWILIO INC, SAN FRANCISCO, CA</t>
        </is>
      </c>
      <c r="C12" s="32" t="n">
        <v>-10.01</v>
      </c>
      <c r="D12" s="31" t="inlineStr">
        <is>
          <t>Miscellaneous (SMS/notifications)</t>
        </is>
      </c>
    </row>
    <row r="13">
      <c r="A13" s="30" t="n">
        <v>45925</v>
      </c>
      <c r="B13" s="31" t="inlineStr">
        <is>
          <t>CHATBASE, TORONTO, ON</t>
        </is>
      </c>
      <c r="C13" s="32" t="n">
        <v>-40</v>
      </c>
      <c r="D13" s="31" t="inlineStr">
        <is>
          <t>Miscellaneous (support bot)</t>
        </is>
      </c>
    </row>
    <row r="14">
      <c r="A14" s="30" t="n">
        <v>45922</v>
      </c>
      <c r="B14" s="31" t="inlineStr">
        <is>
          <t>TWILIO INC, SAN FRANCISCO, CA</t>
        </is>
      </c>
      <c r="C14" s="32" t="n">
        <v>-10.79</v>
      </c>
      <c r="D14" s="31" t="inlineStr">
        <is>
          <t>Miscellaneous (SMS/notifications)</t>
        </is>
      </c>
    </row>
    <row r="15">
      <c r="A15" s="30" t="n">
        <v>45921</v>
      </c>
      <c r="B15" s="31" t="inlineStr">
        <is>
          <t>TWILIO INC, SAN FRANCISCO, CA</t>
        </is>
      </c>
      <c r="C15" s="32" t="n">
        <v>-10.03</v>
      </c>
      <c r="D15" s="31" t="inlineStr">
        <is>
          <t>Miscellaneous (SMS/notifications)</t>
        </is>
      </c>
    </row>
    <row r="16">
      <c r="A16" s="30" t="n">
        <v>45919</v>
      </c>
      <c r="B16" s="31" t="inlineStr">
        <is>
          <t>TWILIO INC, SAN FRANCISCO, CA</t>
        </is>
      </c>
      <c r="C16" s="32" t="n">
        <v>-10.09</v>
      </c>
      <c r="D16" s="31" t="inlineStr">
        <is>
          <t>Miscellaneous (SMS/notifications)</t>
        </is>
      </c>
    </row>
    <row r="17">
      <c r="A17" s="30" t="n">
        <v>45917</v>
      </c>
      <c r="B17" s="31" t="inlineStr">
        <is>
          <t>TWILIO INC, SAN FRANCISCO, CA</t>
        </is>
      </c>
      <c r="C17" s="32" t="n">
        <v>-10</v>
      </c>
      <c r="D17" s="31" t="inlineStr">
        <is>
          <t>Miscellaneous (SMS/notifications)</t>
        </is>
      </c>
    </row>
    <row r="18">
      <c r="A18" s="30" t="n">
        <v>45915</v>
      </c>
      <c r="B18" s="31" t="inlineStr">
        <is>
          <t>TWILIO INC, SAN FRANCISCO, CA</t>
        </is>
      </c>
      <c r="C18" s="32" t="n">
        <v>-10.02</v>
      </c>
      <c r="D18" s="31" t="inlineStr">
        <is>
          <t>Miscellaneous (SMS/notifications)</t>
        </is>
      </c>
    </row>
    <row r="19">
      <c r="A19" s="30" t="n">
        <v>45913</v>
      </c>
      <c r="B19" s="31" t="inlineStr">
        <is>
          <t>TWILIO INC, SAN FRANCISCO, CA</t>
        </is>
      </c>
      <c r="C19" s="32" t="n">
        <v>-10.12</v>
      </c>
      <c r="D19" s="31" t="inlineStr">
        <is>
          <t>Miscellaneous (SMS/notifications)</t>
        </is>
      </c>
    </row>
    <row r="20">
      <c r="A20" s="30" t="n">
        <v>45912</v>
      </c>
      <c r="B20" s="31" t="inlineStr">
        <is>
          <t>TWILIO INC, SAN FRANCISCO, CA</t>
        </is>
      </c>
      <c r="C20" s="32" t="n">
        <v>-10.01</v>
      </c>
      <c r="D20" s="31" t="inlineStr">
        <is>
          <t>Miscellaneous (SMS/notifications)</t>
        </is>
      </c>
    </row>
    <row r="21">
      <c r="A21" s="30" t="n">
        <v>45910</v>
      </c>
      <c r="B21" s="31" t="inlineStr">
        <is>
          <t>OPENAI, SAN FRANCISCO, CA</t>
        </is>
      </c>
      <c r="C21" s="32" t="n">
        <v>-150.03</v>
      </c>
      <c r="D21" s="31" t="inlineStr">
        <is>
          <t>AI costs (OpenAI API)</t>
        </is>
      </c>
    </row>
    <row r="22">
      <c r="A22" s="30" t="n">
        <v>45910</v>
      </c>
      <c r="B22" s="31" t="inlineStr">
        <is>
          <t>ANTHROPIC, SAN FRANCISCO, CA</t>
        </is>
      </c>
      <c r="C22" s="32" t="n">
        <v>-400.23</v>
      </c>
      <c r="D22" s="31" t="inlineStr">
        <is>
          <t>AI costs (Anthropic API)</t>
        </is>
      </c>
    </row>
    <row r="23">
      <c r="A23" s="30" t="n">
        <v>45909</v>
      </c>
      <c r="B23" s="31" t="inlineStr">
        <is>
          <t>HEROKU* AUG-107582724, SAN FRANCISCO, CA</t>
        </is>
      </c>
      <c r="C23" s="32" t="n">
        <v>-17</v>
      </c>
      <c r="D23" s="31" t="inlineStr">
        <is>
          <t>Server costs</t>
        </is>
      </c>
    </row>
    <row r="24">
      <c r="A24" s="30" t="n">
        <v>45909</v>
      </c>
      <c r="B24" s="31" t="inlineStr">
        <is>
          <t>TWILIO INC, SAN FRANCISCO, CA</t>
        </is>
      </c>
      <c r="C24" s="32" t="n">
        <v>-10.04</v>
      </c>
      <c r="D24" s="31" t="inlineStr">
        <is>
          <t>Miscellaneous (SMS/notifications)</t>
        </is>
      </c>
    </row>
    <row r="25">
      <c r="A25" s="30" t="n">
        <v>45906</v>
      </c>
      <c r="B25" s="31" t="inlineStr">
        <is>
          <t>TWILIO INC, SAN FRANCISCO, CA</t>
        </is>
      </c>
      <c r="C25" s="32" t="n">
        <v>-11.56</v>
      </c>
      <c r="D25" s="31" t="inlineStr">
        <is>
          <t>Miscellaneous (SMS/notifications)</t>
        </is>
      </c>
    </row>
    <row r="26">
      <c r="A26" s="30" t="n">
        <v>45904</v>
      </c>
      <c r="B26" s="31" t="inlineStr">
        <is>
          <t>TWILIO SENDGRID, SAN FRANCISCO, CA</t>
        </is>
      </c>
      <c r="C26" s="32" t="n">
        <v>-59.98</v>
      </c>
      <c r="D26" s="31" t="inlineStr">
        <is>
          <t>Miscellaneous (SMS/notifications)</t>
        </is>
      </c>
    </row>
    <row r="27">
      <c r="A27" s="30" t="n">
        <v>45902</v>
      </c>
      <c r="B27" s="31" t="inlineStr">
        <is>
          <t>GOOGLE *CLOUD DM4Q6H, 650-253-0000, CA</t>
        </is>
      </c>
      <c r="C27" s="32" t="n">
        <v>-180.58</v>
      </c>
      <c r="D27" s="31" t="inlineStr">
        <is>
          <t>Server costs (GKE)</t>
        </is>
      </c>
    </row>
    <row r="28">
      <c r="A28" s="30" t="n">
        <v>45902</v>
      </c>
      <c r="B28" s="31" t="inlineStr">
        <is>
          <t>GOOGLE *GSUITE_swaybet, 650-253-0000, CA</t>
        </is>
      </c>
      <c r="C28" s="32" t="n">
        <v>-19.26</v>
      </c>
      <c r="D28" s="31" t="inlineStr">
        <is>
          <t>Miscellaneous (email/workspace)</t>
        </is>
      </c>
    </row>
    <row r="29">
      <c r="A29" s="30" t="n">
        <v>45902</v>
      </c>
      <c r="B29" s="31" t="inlineStr">
        <is>
          <t>TWILIO INC, SAN FRANCISCO, CA</t>
        </is>
      </c>
      <c r="C29" s="32" t="n">
        <v>-10.34</v>
      </c>
      <c r="D29" s="31" t="inlineStr">
        <is>
          <t>Miscellaneous (SMS/notifications)</t>
        </is>
      </c>
    </row>
    <row r="30">
      <c r="A30" s="30" t="n">
        <v>45897</v>
      </c>
      <c r="B30" s="31" t="inlineStr">
        <is>
          <t>GOOGLE *CLOUD 5Q42V6, 650-253-0000, CA</t>
        </is>
      </c>
      <c r="C30" s="32" t="n">
        <v>-1000</v>
      </c>
      <c r="D30" s="31" t="inlineStr">
        <is>
          <t>Server costs (GKE)</t>
        </is>
      </c>
    </row>
    <row r="31">
      <c r="A31" s="30" t="n">
        <v>45894</v>
      </c>
      <c r="B31" s="31" t="inlineStr">
        <is>
          <t>SENTRY, SAN FRANCISCO, CA</t>
        </is>
      </c>
      <c r="C31" s="32" t="n">
        <v>-41.29</v>
      </c>
      <c r="D31" s="31" t="inlineStr">
        <is>
          <t>Miscellaneous (error tracking)</t>
        </is>
      </c>
    </row>
    <row r="32">
      <c r="A32" s="30" t="n">
        <v>45894</v>
      </c>
      <c r="B32" s="31" t="inlineStr">
        <is>
          <t>TWILIO INC, SAN FRANCISCO, CA</t>
        </is>
      </c>
      <c r="C32" s="32" t="n">
        <v>-10.01</v>
      </c>
      <c r="D32" s="31" t="inlineStr">
        <is>
          <t>Miscellaneous (SMS/notifications)</t>
        </is>
      </c>
    </row>
    <row r="33">
      <c r="A33" s="30" t="n">
        <v>45894</v>
      </c>
      <c r="B33" s="31" t="inlineStr">
        <is>
          <t>CHATBASE, TORONTO, ON</t>
        </is>
      </c>
      <c r="C33" s="32" t="n">
        <v>-40</v>
      </c>
      <c r="D33" s="31" t="inlineStr">
        <is>
          <t>Miscellaneous (support bot)</t>
        </is>
      </c>
    </row>
    <row r="34">
      <c r="A34" s="30" t="n">
        <v>45891</v>
      </c>
      <c r="B34" s="31" t="inlineStr">
        <is>
          <t>TWILIO INC, SAN FRANCISCO, CA</t>
        </is>
      </c>
      <c r="C34" s="32" t="n">
        <v>-10.02</v>
      </c>
      <c r="D34" s="31" t="inlineStr">
        <is>
          <t>Miscellaneous (SMS/notifications)</t>
        </is>
      </c>
    </row>
    <row r="35">
      <c r="A35" s="30" t="n">
        <v>45890</v>
      </c>
      <c r="B35" s="31" t="inlineStr">
        <is>
          <t>TWILIO INC, SAN FRANCISCO, CA</t>
        </is>
      </c>
      <c r="C35" s="32" t="n">
        <v>-10.01</v>
      </c>
      <c r="D35" s="31" t="inlineStr">
        <is>
          <t>Miscellaneous (SMS/notifications)</t>
        </is>
      </c>
    </row>
    <row r="36">
      <c r="A36" s="30" t="n">
        <v>45881</v>
      </c>
      <c r="B36" s="31" t="inlineStr">
        <is>
          <t>OPENAI, SAN FRANCISCO, CA</t>
        </is>
      </c>
      <c r="C36" s="32" t="n">
        <v>-150.07</v>
      </c>
      <c r="D36" s="31" t="inlineStr">
        <is>
          <t>AI costs (OpenAI API)</t>
        </is>
      </c>
    </row>
    <row r="37">
      <c r="A37" s="30" t="n">
        <v>45879</v>
      </c>
      <c r="B37" s="31" t="inlineStr">
        <is>
          <t>TWILIO INC, SAN FRANCISCO, CA</t>
        </is>
      </c>
      <c r="C37" s="32" t="n">
        <v>-10.36</v>
      </c>
      <c r="D37" s="31" t="inlineStr">
        <is>
          <t>Miscellaneous (SMS/notifications)</t>
        </is>
      </c>
    </row>
    <row r="38">
      <c r="A38" s="30" t="n">
        <v>45877</v>
      </c>
      <c r="B38" s="31" t="inlineStr">
        <is>
          <t>HEROKU* JUL-107024988, SAN FRANCISCO, CA</t>
        </is>
      </c>
      <c r="C38" s="32" t="n">
        <v>-17</v>
      </c>
      <c r="D38" s="31" t="inlineStr">
        <is>
          <t>Server costs</t>
        </is>
      </c>
    </row>
    <row r="39">
      <c r="A39" s="30" t="n">
        <v>45875</v>
      </c>
      <c r="B39" s="31" t="inlineStr">
        <is>
          <t>TWILIO SENDGRID, SAN FRANCISCO, CA</t>
        </is>
      </c>
      <c r="C39" s="32" t="n">
        <v>-24.95</v>
      </c>
      <c r="D39" s="31" t="inlineStr">
        <is>
          <t>Miscellaneous (SMS/notifications)</t>
        </is>
      </c>
    </row>
    <row r="40">
      <c r="A40" s="30" t="n">
        <v>45871</v>
      </c>
      <c r="B40" s="31" t="inlineStr">
        <is>
          <t>GOOGLE *CLOUD 9vKT9W, 650-253-0000, CA</t>
        </is>
      </c>
      <c r="C40" s="32" t="n">
        <v>-407.98</v>
      </c>
      <c r="D40" s="31" t="inlineStr">
        <is>
          <t>Server costs (GKE)</t>
        </is>
      </c>
    </row>
    <row r="41">
      <c r="A41" s="30" t="n">
        <v>45871</v>
      </c>
      <c r="B41" s="31" t="inlineStr">
        <is>
          <t>GOOGLE *GSUITE_swaybet, 650-253-0000, CA</t>
        </is>
      </c>
      <c r="C41" s="32" t="n">
        <v>-19.26</v>
      </c>
      <c r="D41" s="31" t="inlineStr">
        <is>
          <t>Miscellaneous (email/workspace)</t>
        </is>
      </c>
    </row>
    <row r="42">
      <c r="A42" s="30" t="n">
        <v>45865</v>
      </c>
      <c r="B42" s="31" t="inlineStr">
        <is>
          <t>TWILIO INC, SAN FRANCISCO, CA</t>
        </is>
      </c>
      <c r="C42" s="32" t="n">
        <v>-10</v>
      </c>
      <c r="D42" s="31" t="inlineStr">
        <is>
          <t>Miscellaneous (SMS/notifications)</t>
        </is>
      </c>
    </row>
    <row r="43">
      <c r="A43" s="30" t="n">
        <v>45863</v>
      </c>
      <c r="B43" s="31" t="inlineStr">
        <is>
          <t>SENTRY, SAN FRANCISCO, CA</t>
        </is>
      </c>
      <c r="C43" s="32" t="n">
        <v>-35.77</v>
      </c>
      <c r="D43" s="31" t="inlineStr">
        <is>
          <t>Miscellaneous (error tracking)</t>
        </is>
      </c>
    </row>
    <row r="44">
      <c r="A44" s="30" t="n">
        <v>45860</v>
      </c>
      <c r="B44" s="31" t="inlineStr">
        <is>
          <t>TWILIO INC, SAN FRANCISCO, CA</t>
        </is>
      </c>
      <c r="C44" s="32" t="n">
        <v>-10.34</v>
      </c>
      <c r="D44" s="31" t="inlineStr">
        <is>
          <t>Miscellaneous (SMS/notifications)</t>
        </is>
      </c>
    </row>
    <row r="45">
      <c r="A45" s="30" t="n">
        <v>45859</v>
      </c>
      <c r="B45" s="31" t="inlineStr">
        <is>
          <t>OPENAI, SAN FRANCISCO, CA</t>
        </is>
      </c>
      <c r="C45" s="32" t="n">
        <v>-150.14</v>
      </c>
      <c r="D45" s="31" t="inlineStr">
        <is>
          <t>AI costs (OpenAI API)</t>
        </is>
      </c>
    </row>
    <row r="46">
      <c r="A46" s="30" t="n">
        <v>45858</v>
      </c>
      <c r="B46" s="31" t="inlineStr">
        <is>
          <t>ANTHROPIC, SAN FRANCISCO, CA</t>
        </is>
      </c>
      <c r="C46" s="32" t="n">
        <v>-53.5</v>
      </c>
      <c r="D46" s="31" t="inlineStr">
        <is>
          <t>AI costs (Anthropic API)</t>
        </is>
      </c>
    </row>
    <row r="47">
      <c r="A47" s="30" t="n">
        <v>45858</v>
      </c>
      <c r="B47" s="31" t="inlineStr">
        <is>
          <t>GOOGLE *CLOUD 8J3KDR, 650-253-0000, CA</t>
        </is>
      </c>
      <c r="C47" s="32" t="n">
        <v>-500</v>
      </c>
      <c r="D47" s="31" t="inlineStr">
        <is>
          <t>Server costs (GKE)</t>
        </is>
      </c>
    </row>
    <row r="48">
      <c r="A48" s="30" t="n">
        <v>45854</v>
      </c>
      <c r="B48" s="31" t="inlineStr">
        <is>
          <t>TWILIO INC, SAN FRANCISCO, CA</t>
        </is>
      </c>
      <c r="C48" s="32" t="n">
        <v>-10.89</v>
      </c>
      <c r="D48" s="31" t="inlineStr">
        <is>
          <t>Miscellaneous (SMS/notifications)</t>
        </is>
      </c>
    </row>
    <row r="49">
      <c r="A49" s="30" t="n">
        <v>45848</v>
      </c>
      <c r="B49" s="31" t="inlineStr">
        <is>
          <t>HEROKU* JUN-106457466, SAN FRANCISCO, CA</t>
        </is>
      </c>
      <c r="C49" s="32" t="n">
        <v>-16.17</v>
      </c>
      <c r="D49" s="31" t="inlineStr">
        <is>
          <t>Server costs</t>
        </is>
      </c>
    </row>
    <row r="50">
      <c r="A50" s="30" t="n">
        <v>45847</v>
      </c>
      <c r="B50" s="31" t="inlineStr">
        <is>
          <t>TWILIO INC, SAN FRANCISCO, CA</t>
        </is>
      </c>
      <c r="C50" s="32" t="n">
        <v>-11.3</v>
      </c>
      <c r="D50" s="31" t="inlineStr">
        <is>
          <t>Miscellaneous (SMS/notifications)</t>
        </is>
      </c>
    </row>
    <row r="51">
      <c r="A51" s="30" t="n">
        <v>45842</v>
      </c>
      <c r="B51" s="31" t="inlineStr">
        <is>
          <t>TWILIO INC, SAN FRANCISCO, CA</t>
        </is>
      </c>
      <c r="C51" s="32" t="n">
        <v>-10.23</v>
      </c>
      <c r="D51" s="31" t="inlineStr">
        <is>
          <t>Miscellaneous (SMS/notifications)</t>
        </is>
      </c>
    </row>
    <row r="52">
      <c r="A52" s="30" t="n">
        <v>45842</v>
      </c>
      <c r="B52" s="31" t="inlineStr">
        <is>
          <t>TWILIO SENDGRID, SAN FRANCISCO, CA</t>
        </is>
      </c>
      <c r="C52" s="32" t="n">
        <v>-24.95</v>
      </c>
      <c r="D52" s="31" t="inlineStr">
        <is>
          <t>Miscellaneous (SMS/notifications)</t>
        </is>
      </c>
    </row>
    <row r="53">
      <c r="A53" s="30" t="n">
        <v>45840</v>
      </c>
      <c r="B53" s="31" t="inlineStr">
        <is>
          <t>Google CLOUD D9ZB2H, Mountain View, CA</t>
        </is>
      </c>
      <c r="C53" s="32" t="n">
        <v>-48.94</v>
      </c>
      <c r="D53" s="31" t="inlineStr">
        <is>
          <t>Server costs (GKE)</t>
        </is>
      </c>
    </row>
    <row r="54">
      <c r="A54" s="30" t="n">
        <v>45840</v>
      </c>
      <c r="B54" s="31" t="inlineStr">
        <is>
          <t>GOOGLE *CLOUD 6NV35T, 650-253-0000, CA</t>
        </is>
      </c>
      <c r="C54" s="32" t="n">
        <v>-415.66</v>
      </c>
      <c r="D54" s="31" t="inlineStr">
        <is>
          <t>Server costs (GKE)</t>
        </is>
      </c>
    </row>
    <row r="55">
      <c r="A55" s="30" t="n">
        <v>45840</v>
      </c>
      <c r="B55" s="31" t="inlineStr">
        <is>
          <t>GOOGLE *GSUITE_swaybet, 650-253-0000, CA</t>
        </is>
      </c>
      <c r="C55" s="32" t="n">
        <v>-19.26</v>
      </c>
      <c r="D55" s="31" t="inlineStr">
        <is>
          <t>Miscellaneous (email/workspace)</t>
        </is>
      </c>
    </row>
    <row r="56">
      <c r="A56" s="30" t="n">
        <v>45836</v>
      </c>
      <c r="B56" s="31" t="inlineStr">
        <is>
          <t>TWILIO INC, SAN FRANCISCO, CA</t>
        </is>
      </c>
      <c r="C56" s="32" t="n">
        <v>-10</v>
      </c>
      <c r="D56" s="31" t="inlineStr">
        <is>
          <t>Miscellaneous (SMS/notifications)</t>
        </is>
      </c>
    </row>
    <row r="57">
      <c r="A57" s="30" t="n">
        <v>45833</v>
      </c>
      <c r="B57" s="31" t="inlineStr">
        <is>
          <t>OPENAI, SAN FRANCISCO, CA</t>
        </is>
      </c>
      <c r="C57" s="32" t="n">
        <v>-106</v>
      </c>
      <c r="D57" s="31" t="inlineStr">
        <is>
          <t>AI costs (OpenAI API)</t>
        </is>
      </c>
    </row>
    <row r="58">
      <c r="A58" s="30" t="n">
        <v>45833</v>
      </c>
      <c r="B58" s="31" t="inlineStr">
        <is>
          <t>SENTRY, SAN FRANCISCO, CA</t>
        </is>
      </c>
      <c r="C58" s="32" t="n">
        <v>-35.42</v>
      </c>
      <c r="D58" s="31" t="inlineStr">
        <is>
          <t>Miscellaneous (error tracking)</t>
        </is>
      </c>
    </row>
    <row r="59">
      <c r="A59" s="30" t="n">
        <v>45830</v>
      </c>
      <c r="B59" s="31" t="inlineStr">
        <is>
          <t>TWILIO INC, SAN FRANCISCO, CA</t>
        </is>
      </c>
      <c r="C59" s="32" t="n">
        <v>-11.46</v>
      </c>
      <c r="D59" s="31" t="inlineStr">
        <is>
          <t>Miscellaneous (SMS/notifications)</t>
        </is>
      </c>
    </row>
    <row r="60">
      <c r="A60" s="30" t="n">
        <v>45825</v>
      </c>
      <c r="B60" s="31" t="inlineStr">
        <is>
          <t>GOOGLE *CLOUD 5NBJR5, 650-253-0000, CA</t>
        </is>
      </c>
      <c r="C60" s="32" t="n">
        <v>-200</v>
      </c>
      <c r="D60" s="31" t="inlineStr">
        <is>
          <t>Server costs (GKE)</t>
        </is>
      </c>
    </row>
    <row r="61">
      <c r="A61" s="30" t="n">
        <v>45822</v>
      </c>
      <c r="B61" s="31" t="inlineStr">
        <is>
          <t>TWILIO INC, +18778894546, CA</t>
        </is>
      </c>
      <c r="C61" s="32" t="n">
        <v>-10.01</v>
      </c>
      <c r="D61" s="31" t="inlineStr">
        <is>
          <t>Miscellaneous (SMS/notifications)</t>
        </is>
      </c>
    </row>
    <row r="62">
      <c r="A62" s="30" t="n">
        <v>45817</v>
      </c>
      <c r="B62" s="31" t="inlineStr">
        <is>
          <t>OPENAI, +14158799686, CA</t>
        </is>
      </c>
      <c r="C62" s="32" t="n">
        <v>-150.01</v>
      </c>
      <c r="D62" s="31" t="inlineStr">
        <is>
          <t>AI costs (OpenAI API)</t>
        </is>
      </c>
    </row>
    <row r="63">
      <c r="A63" s="30" t="n">
        <v>45816</v>
      </c>
      <c r="B63" s="31" t="inlineStr">
        <is>
          <t>GOOGLE *CLOUD 3V4SRP, 650-253-0000, CA</t>
        </is>
      </c>
      <c r="C63" s="32" t="n">
        <v>-100</v>
      </c>
      <c r="D63" s="31" t="inlineStr">
        <is>
          <t>Server costs (GKE)</t>
        </is>
      </c>
    </row>
    <row r="64">
      <c r="A64" s="30" t="n">
        <v>45815</v>
      </c>
      <c r="B64" s="31" t="inlineStr">
        <is>
          <t>TWILIO INC, +18778894546, CA</t>
        </is>
      </c>
      <c r="C64" s="32" t="n">
        <v>-10.01</v>
      </c>
      <c r="D64" s="31" t="inlineStr">
        <is>
          <t>Miscellaneous (SMS/notifications)</t>
        </is>
      </c>
    </row>
    <row r="65">
      <c r="A65" s="30" t="n">
        <v>45813</v>
      </c>
      <c r="B65" s="31" t="inlineStr">
        <is>
          <t>TWILIO INC, +18778894546, CA</t>
        </is>
      </c>
      <c r="C65" s="32" t="n">
        <v>-10.26</v>
      </c>
      <c r="D65" s="31" t="inlineStr">
        <is>
          <t>Miscellaneous (SMS/notifications)</t>
        </is>
      </c>
    </row>
    <row r="66">
      <c r="A66" s="30" t="n">
        <v>45812</v>
      </c>
      <c r="B66" s="31" t="inlineStr">
        <is>
          <t>TWILIO SENDGRID, +18778894546, CA</t>
        </is>
      </c>
      <c r="C66" s="32" t="n">
        <v>-19.95</v>
      </c>
      <c r="D66" s="31" t="inlineStr">
        <is>
          <t>Miscellaneous (SMS/notifications)</t>
        </is>
      </c>
    </row>
    <row r="67">
      <c r="A67" s="30" t="n">
        <v>45810</v>
      </c>
      <c r="B67" s="31" t="inlineStr">
        <is>
          <t>GOOGLE*CLOUD JWQ2KX, CC GOOGLE.COM, CA</t>
        </is>
      </c>
      <c r="C67" s="32" t="n">
        <v>-141.21</v>
      </c>
      <c r="D67" s="31" t="inlineStr">
        <is>
          <t>Server costs (GKE)</t>
        </is>
      </c>
    </row>
    <row r="68">
      <c r="A68" s="30" t="n">
        <v>45810</v>
      </c>
      <c r="B68" s="31" t="inlineStr">
        <is>
          <t>Google CLOUD BF9WRT, Mountain View, CA</t>
        </is>
      </c>
      <c r="C68" s="32" t="n">
        <v>-3.55</v>
      </c>
      <c r="D68" s="31" t="inlineStr">
        <is>
          <t>Server costs (GKE)</t>
        </is>
      </c>
    </row>
    <row r="69">
      <c r="A69" s="30" t="n">
        <v>45810</v>
      </c>
      <c r="B69" s="31" t="inlineStr">
        <is>
          <t>GOOGLE *GSUITE_swaybet, 650-253-0000, CA</t>
        </is>
      </c>
      <c r="C69" s="32" t="n">
        <v>-19.26</v>
      </c>
      <c r="D69" s="31" t="inlineStr">
        <is>
          <t>Miscellaneous (email/workspace)</t>
        </is>
      </c>
    </row>
    <row r="71">
      <c r="B71" s="36" t="inlineStr">
        <is>
          <t>Infrastructure Sub-totals:</t>
        </is>
      </c>
    </row>
    <row r="72">
      <c r="B72" s="37" t="inlineStr">
        <is>
          <t>AI costs</t>
        </is>
      </c>
      <c r="C72" s="38" t="n">
        <v>-1159.98</v>
      </c>
    </row>
    <row r="73">
      <c r="B73" s="37" t="inlineStr">
        <is>
          <t>Server costs</t>
        </is>
      </c>
      <c r="C73" s="38" t="n">
        <v>-3916.01</v>
      </c>
    </row>
    <row r="74">
      <c r="B74" s="37" t="inlineStr">
        <is>
          <t>Miscellaneous</t>
        </is>
      </c>
      <c r="C74" s="38" t="n">
        <v>-766.4300000000001</v>
      </c>
    </row>
    <row r="76">
      <c r="B76" s="26" t="inlineStr">
        <is>
          <t>SUBTOTAL - Infrastructure</t>
        </is>
      </c>
      <c r="C76" s="39">
        <f>C72+C73+C74</f>
        <v/>
      </c>
    </row>
    <row r="78">
      <c r="A78" s="44" t="inlineStr">
        <is>
          <t>Development Costs:</t>
        </is>
      </c>
    </row>
    <row r="79">
      <c r="A79" s="30" t="n">
        <v>45930</v>
      </c>
      <c r="B79" s="31" t="inlineStr">
        <is>
          <t>UPWORK * -851118015, SAN FRANCISCO, CA</t>
        </is>
      </c>
      <c r="C79" s="32" t="n">
        <v>-1948.93</v>
      </c>
      <c r="D79" s="31" t="inlineStr">
        <is>
          <t>Software development</t>
        </is>
      </c>
    </row>
    <row r="80">
      <c r="A80" s="30" t="n">
        <v>45930</v>
      </c>
      <c r="B80" s="31" t="inlineStr">
        <is>
          <t>UPWORK * -851257804, SAN FRANCISCO, CA</t>
        </is>
      </c>
      <c r="C80" s="32" t="n">
        <v>-315.9</v>
      </c>
      <c r="D80" s="31" t="inlineStr">
        <is>
          <t>Software development</t>
        </is>
      </c>
    </row>
    <row r="81">
      <c r="A81" s="30" t="n">
        <v>45923</v>
      </c>
      <c r="B81" s="31" t="inlineStr">
        <is>
          <t>UPWORK * -848892068, SAN FRANCISCO, CA</t>
        </is>
      </c>
      <c r="C81" s="32" t="n">
        <v>-2621.11</v>
      </c>
      <c r="D81" s="31" t="inlineStr">
        <is>
          <t>Software development</t>
        </is>
      </c>
    </row>
    <row r="82">
      <c r="A82" s="30" t="n">
        <v>45921</v>
      </c>
      <c r="B82" s="31" t="inlineStr">
        <is>
          <t>Google Play, Mountain View, CA</t>
        </is>
      </c>
      <c r="C82" s="32" t="n">
        <v>-25</v>
      </c>
      <c r="D82" s="31" t="inlineStr">
        <is>
          <t>Play Store registration</t>
        </is>
      </c>
    </row>
    <row r="83">
      <c r="A83" s="30" t="n">
        <v>45921</v>
      </c>
      <c r="B83" s="31" t="inlineStr">
        <is>
          <t>CURSOR, AI POWERED IDE, NEW YORK, NY</t>
        </is>
      </c>
      <c r="C83" s="32" t="n">
        <v>-21.4</v>
      </c>
      <c r="D83" s="31" t="inlineStr">
        <is>
          <t>AI coding tool</t>
        </is>
      </c>
    </row>
    <row r="84">
      <c r="A84" s="30" t="n">
        <v>45920</v>
      </c>
      <c r="B84" s="31" t="inlineStr">
        <is>
          <t>TWINR INC., VAUDREUIL-DOR, QC</t>
        </is>
      </c>
      <c r="C84" s="32" t="n">
        <v>-2</v>
      </c>
      <c r="D84" s="31" t="inlineStr">
        <is>
          <t>Mobile app platform</t>
        </is>
      </c>
    </row>
    <row r="85">
      <c r="A85" s="30" t="n">
        <v>45920</v>
      </c>
      <c r="B85" s="31" t="inlineStr">
        <is>
          <t>TWINR INC., VAUDREUIL-DOR, QC</t>
        </is>
      </c>
      <c r="C85" s="32" t="n">
        <v>-68.5</v>
      </c>
      <c r="D85" s="31" t="inlineStr">
        <is>
          <t>Mobile app platform</t>
        </is>
      </c>
    </row>
    <row r="86">
      <c r="A86" s="30" t="n">
        <v>45915</v>
      </c>
      <c r="B86" s="31" t="inlineStr">
        <is>
          <t>APPLE.COM/BILL, 866-712-7753, CA</t>
        </is>
      </c>
      <c r="C86" s="32" t="n">
        <v>-107.6</v>
      </c>
      <c r="D86" s="31" t="inlineStr">
        <is>
          <t>App Store membership</t>
        </is>
      </c>
    </row>
    <row r="87">
      <c r="A87" s="30" t="n">
        <v>45910</v>
      </c>
      <c r="B87" s="31" t="inlineStr">
        <is>
          <t>CURSOR USAGE AUG, NEW YORK, NY</t>
        </is>
      </c>
      <c r="C87" s="32" t="n">
        <v>-10.7</v>
      </c>
      <c r="D87" s="31" t="inlineStr">
        <is>
          <t>AI coding tool</t>
        </is>
      </c>
    </row>
    <row r="88">
      <c r="A88" s="30" t="n">
        <v>45909</v>
      </c>
      <c r="B88" s="31" t="inlineStr">
        <is>
          <t>OPENAI *CHATGPT SUBSCR, SAN FRANCISCO, CA</t>
        </is>
      </c>
      <c r="C88" s="32" t="n">
        <v>-20</v>
      </c>
      <c r="D88" s="31" t="inlineStr">
        <is>
          <t>AI research tool</t>
        </is>
      </c>
    </row>
    <row r="89">
      <c r="A89" s="30" t="n">
        <v>45907</v>
      </c>
      <c r="B89" s="31" t="inlineStr">
        <is>
          <t>OPENAI *CHATGPT SUBSCR, SAN FRANCISCO, CA</t>
        </is>
      </c>
      <c r="C89" s="32" t="n">
        <v>-21.2</v>
      </c>
      <c r="D89" s="31" t="inlineStr">
        <is>
          <t>AI research tool</t>
        </is>
      </c>
    </row>
    <row r="90">
      <c r="A90" s="30" t="n">
        <v>45905</v>
      </c>
      <c r="B90" s="31" t="inlineStr">
        <is>
          <t>Upwork -843074981REF, Upwork.com/bi, CA</t>
        </is>
      </c>
      <c r="C90" s="32" t="n">
        <v>-340.12</v>
      </c>
      <c r="D90" s="31" t="inlineStr">
        <is>
          <t>Software development</t>
        </is>
      </c>
    </row>
    <row r="91">
      <c r="A91" s="30" t="n">
        <v>45902</v>
      </c>
      <c r="B91" s="31" t="inlineStr">
        <is>
          <t>Upwork -842277294REF, Upwork.com/bi, CA</t>
        </is>
      </c>
      <c r="C91" s="32" t="n">
        <v>-1942.79</v>
      </c>
      <c r="D91" s="31" t="inlineStr">
        <is>
          <t>Software development</t>
        </is>
      </c>
    </row>
    <row r="92">
      <c r="A92" s="30" t="n">
        <v>45890</v>
      </c>
      <c r="B92" s="31" t="inlineStr">
        <is>
          <t>CURSOR, AI POWERED IDE, NEW YORK, NY</t>
        </is>
      </c>
      <c r="C92" s="32" t="n">
        <v>-21.4</v>
      </c>
      <c r="D92" s="31" t="inlineStr">
        <is>
          <t>AI coding tool</t>
        </is>
      </c>
    </row>
    <row r="93">
      <c r="A93" s="30" t="n">
        <v>45888</v>
      </c>
      <c r="B93" s="31" t="inlineStr">
        <is>
          <t>UPWORK * -837926041, SAN FRANCISCO, CA</t>
        </is>
      </c>
      <c r="C93" s="32" t="n">
        <v>-2309.23</v>
      </c>
      <c r="D93" s="31" t="inlineStr">
        <is>
          <t>Software development</t>
        </is>
      </c>
    </row>
    <row r="94">
      <c r="A94" s="30" t="n">
        <v>45883</v>
      </c>
      <c r="B94" s="31" t="inlineStr">
        <is>
          <t>DUN&amp; BRADSTREET ONLINE, 800-892-2980, CA</t>
        </is>
      </c>
      <c r="C94" s="32" t="n">
        <v>-249.32</v>
      </c>
      <c r="D94" s="31" t="inlineStr">
        <is>
          <t>Business credibility (req. for Play Store)</t>
        </is>
      </c>
    </row>
    <row r="95">
      <c r="A95" s="30" t="n">
        <v>45879</v>
      </c>
      <c r="B95" s="31" t="inlineStr">
        <is>
          <t>CURSOR USAGE JUL, NEW YORK, NY</t>
        </is>
      </c>
      <c r="C95" s="32" t="n">
        <v>-10.7</v>
      </c>
      <c r="D95" s="31" t="inlineStr">
        <is>
          <t>AI coding tool</t>
        </is>
      </c>
    </row>
    <row r="96">
      <c r="A96" s="30" t="n">
        <v>45878</v>
      </c>
      <c r="B96" s="31" t="inlineStr">
        <is>
          <t>OPENAI *CHATGPT SUBSCR, SAN FRANCISCO, CA</t>
        </is>
      </c>
      <c r="C96" s="32" t="n">
        <v>-20</v>
      </c>
      <c r="D96" s="31" t="inlineStr">
        <is>
          <t>AI research tool</t>
        </is>
      </c>
    </row>
    <row r="97">
      <c r="A97" s="30" t="n">
        <v>45876</v>
      </c>
      <c r="B97" s="31" t="inlineStr">
        <is>
          <t>OPENAI *CHATGPT SUBSCR, SAN FRANCISCO, CA</t>
        </is>
      </c>
      <c r="C97" s="32" t="n">
        <v>-21.2</v>
      </c>
      <c r="D97" s="31" t="inlineStr">
        <is>
          <t>AI research tool</t>
        </is>
      </c>
    </row>
    <row r="98">
      <c r="A98" s="30" t="n">
        <v>45874</v>
      </c>
      <c r="B98" s="31" t="inlineStr">
        <is>
          <t>UPWORK * -833617888, SAN FRANCISCO, CA</t>
        </is>
      </c>
      <c r="C98" s="32" t="n">
        <v>-2133.04</v>
      </c>
      <c r="D98" s="31" t="inlineStr">
        <is>
          <t>Software development</t>
        </is>
      </c>
    </row>
    <row r="99">
      <c r="A99" s="30" t="n">
        <v>45859</v>
      </c>
      <c r="B99" s="31" t="inlineStr">
        <is>
          <t>CURSOR, AI POWERED IDE, NEW YORK, NY</t>
        </is>
      </c>
      <c r="C99" s="32" t="n">
        <v>-21.4</v>
      </c>
      <c r="D99" s="31" t="inlineStr">
        <is>
          <t>AI coding tool</t>
        </is>
      </c>
    </row>
    <row r="100">
      <c r="A100" s="30" t="n">
        <v>45858</v>
      </c>
      <c r="B100" s="31" t="inlineStr">
        <is>
          <t>TWINR INC., VAUDREUIL-DOR, QC</t>
        </is>
      </c>
      <c r="C100" s="32" t="n">
        <v>-87.5</v>
      </c>
      <c r="D100" s="31" t="inlineStr">
        <is>
          <t>Mobile app platform</t>
        </is>
      </c>
    </row>
    <row r="101">
      <c r="A101" s="30" t="n">
        <v>45858</v>
      </c>
      <c r="B101" s="31" t="inlineStr">
        <is>
          <t>TWINR INC., VAUDREUIL-DOR, QC</t>
        </is>
      </c>
      <c r="C101" s="32" t="n">
        <v>-2</v>
      </c>
      <c r="D101" s="31" t="inlineStr">
        <is>
          <t>Mobile app platform</t>
        </is>
      </c>
    </row>
    <row r="102">
      <c r="A102" s="30" t="n">
        <v>45856</v>
      </c>
      <c r="B102" s="31" t="inlineStr">
        <is>
          <t>UPWORK * -827860618, SAN FRANCISCO, CA</t>
        </is>
      </c>
      <c r="C102" s="32" t="n">
        <v>-658.67</v>
      </c>
      <c r="D102" s="31" t="inlineStr">
        <is>
          <t>Software development</t>
        </is>
      </c>
    </row>
    <row r="103">
      <c r="A103" s="30" t="n">
        <v>45855</v>
      </c>
      <c r="B103" s="31" t="inlineStr">
        <is>
          <t>TWINR INC., VAUDREUIL-DOR, QC</t>
        </is>
      </c>
      <c r="C103" s="32" t="n">
        <v>-93.75</v>
      </c>
      <c r="D103" s="31" t="inlineStr">
        <is>
          <t>Mobile app platform</t>
        </is>
      </c>
    </row>
    <row r="104">
      <c r="A104" s="30" t="n">
        <v>45855</v>
      </c>
      <c r="B104" s="31" t="inlineStr">
        <is>
          <t>TWINR INC., VAUDREUIL-DOR, QC</t>
        </is>
      </c>
      <c r="C104" s="32" t="n">
        <v>-2</v>
      </c>
      <c r="D104" s="31" t="inlineStr">
        <is>
          <t>Mobile app platform</t>
        </is>
      </c>
    </row>
    <row r="105">
      <c r="A105" s="30" t="n">
        <v>45853</v>
      </c>
      <c r="B105" s="31" t="inlineStr">
        <is>
          <t>UPWORK * -827095899, SAN FRANCISCO, CA</t>
        </is>
      </c>
      <c r="C105" s="32" t="n">
        <v>-2444.02</v>
      </c>
      <c r="D105" s="31" t="inlineStr">
        <is>
          <t>Software development</t>
        </is>
      </c>
    </row>
    <row r="106">
      <c r="A106" s="30" t="n">
        <v>45847</v>
      </c>
      <c r="B106" s="31" t="inlineStr">
        <is>
          <t>OPENAI *CHATGPT SUBSCR, SAN FRANCISCO, CA</t>
        </is>
      </c>
      <c r="C106" s="32" t="n">
        <v>-20</v>
      </c>
      <c r="D106" s="31" t="inlineStr">
        <is>
          <t>AI research tool</t>
        </is>
      </c>
    </row>
    <row r="107">
      <c r="A107" s="30" t="n">
        <v>45845</v>
      </c>
      <c r="B107" s="31" t="inlineStr">
        <is>
          <t>OPENAI *CHATGPT SUBSCR, SAN FRANCISCO, CA</t>
        </is>
      </c>
      <c r="C107" s="32" t="n">
        <v>-21.2</v>
      </c>
      <c r="D107" s="31" t="inlineStr">
        <is>
          <t>AI research tool</t>
        </is>
      </c>
    </row>
    <row r="108">
      <c r="A108" s="30" t="n">
        <v>45839</v>
      </c>
      <c r="B108" s="31" t="inlineStr">
        <is>
          <t>UPWORK * -822754447, SAN FRANCISCO, CA</t>
        </is>
      </c>
      <c r="C108" s="32" t="n">
        <v>-2250.8</v>
      </c>
      <c r="D108" s="31" t="inlineStr">
        <is>
          <t>Software development</t>
        </is>
      </c>
    </row>
    <row r="109">
      <c r="A109" s="30" t="n">
        <v>45829</v>
      </c>
      <c r="B109" s="31" t="inlineStr">
        <is>
          <t>CURSOR, AI POWERED IDE, NEW YORK, NY</t>
        </is>
      </c>
      <c r="C109" s="32" t="n">
        <v>-21.4</v>
      </c>
      <c r="D109" s="31" t="inlineStr">
        <is>
          <t>AI coding tool</t>
        </is>
      </c>
    </row>
    <row r="110">
      <c r="A110" s="30" t="n">
        <v>45828</v>
      </c>
      <c r="B110" s="31" t="inlineStr">
        <is>
          <t>TWINR INC., VAUDREUIL-DOR, QC</t>
        </is>
      </c>
      <c r="C110" s="32" t="n">
        <v>-2</v>
      </c>
      <c r="D110" s="31" t="inlineStr">
        <is>
          <t>Mobile app platform</t>
        </is>
      </c>
    </row>
    <row r="111">
      <c r="A111" s="30" t="n">
        <v>45828</v>
      </c>
      <c r="B111" s="31" t="inlineStr">
        <is>
          <t>TWINR INC., +14388807741, CAN</t>
        </is>
      </c>
      <c r="C111" s="32" t="n">
        <v>-87.5</v>
      </c>
      <c r="D111" s="31" t="inlineStr">
        <is>
          <t>Mobile app platform</t>
        </is>
      </c>
    </row>
    <row r="112">
      <c r="A112" s="30" t="n">
        <v>45825</v>
      </c>
      <c r="B112" s="31" t="inlineStr">
        <is>
          <t>TWINR INC., +14388807741, CAN</t>
        </is>
      </c>
      <c r="C112" s="32" t="n">
        <v>-93.75</v>
      </c>
      <c r="D112" s="31" t="inlineStr">
        <is>
          <t>Mobile app platform</t>
        </is>
      </c>
    </row>
    <row r="113">
      <c r="A113" s="30" t="n">
        <v>45825</v>
      </c>
      <c r="B113" s="31" t="inlineStr">
        <is>
          <t>TWINR INC., +14388807741, CAN</t>
        </is>
      </c>
      <c r="C113" s="32" t="n">
        <v>-2</v>
      </c>
      <c r="D113" s="31" t="inlineStr">
        <is>
          <t>Mobile app platform</t>
        </is>
      </c>
    </row>
    <row r="114">
      <c r="A114" s="30" t="n">
        <v>45818</v>
      </c>
      <c r="B114" s="31" t="inlineStr">
        <is>
          <t>UPWORK * -816238517, SAN FRANCISCO, CA</t>
        </is>
      </c>
      <c r="C114" s="32" t="n">
        <v>-2754.13</v>
      </c>
      <c r="D114" s="31" t="inlineStr">
        <is>
          <t>Software development</t>
        </is>
      </c>
    </row>
    <row r="115">
      <c r="A115" s="30" t="n">
        <v>45817</v>
      </c>
      <c r="B115" s="31" t="inlineStr">
        <is>
          <t>OPENAI *CHATGPT SUBSCR, +14158799686, CA</t>
        </is>
      </c>
      <c r="C115" s="32" t="n">
        <v>-20</v>
      </c>
      <c r="D115" s="31" t="inlineStr">
        <is>
          <t>AI research tool</t>
        </is>
      </c>
    </row>
    <row r="116">
      <c r="A116" s="30" t="n">
        <v>45813</v>
      </c>
      <c r="B116" s="31" t="inlineStr">
        <is>
          <t>UPWORK * -814655596, SAN FRANCISCO, CA</t>
        </is>
      </c>
      <c r="C116" s="32" t="n">
        <v>-150.06</v>
      </c>
      <c r="D116" s="31" t="inlineStr">
        <is>
          <t>Software development</t>
        </is>
      </c>
    </row>
    <row r="117">
      <c r="A117" s="30" t="n">
        <v>45811</v>
      </c>
      <c r="B117" s="31" t="inlineStr">
        <is>
          <t>UPWORK * -814085609, SAN FRANCISCO, CA</t>
        </is>
      </c>
      <c r="C117" s="32" t="n">
        <v>-2197.43</v>
      </c>
      <c r="D117" s="31" t="inlineStr">
        <is>
          <t>Software development</t>
        </is>
      </c>
    </row>
    <row r="118">
      <c r="B118" s="26" t="inlineStr">
        <is>
          <t>SUBTOTAL - Development</t>
        </is>
      </c>
      <c r="C118" s="39">
        <f>SUM(C79:C117)</f>
        <v/>
      </c>
    </row>
    <row r="120">
      <c r="A120" s="44" t="inlineStr">
        <is>
          <t>Website Costs:</t>
        </is>
      </c>
    </row>
    <row r="121">
      <c r="A121" s="30" t="n">
        <v>45846</v>
      </c>
      <c r="B121" s="31" t="inlineStr">
        <is>
          <t>NAME-CHEAP.COM* LY0OMY, PHOENIX, AZ</t>
        </is>
      </c>
      <c r="C121" s="32" t="n">
        <v>-32.36</v>
      </c>
      <c r="D121" s="31" t="inlineStr">
        <is>
          <t>Domain registration</t>
        </is>
      </c>
    </row>
    <row r="122">
      <c r="B122" s="26" t="inlineStr">
        <is>
          <t>SUBTOTAL - Website</t>
        </is>
      </c>
      <c r="C122" s="39">
        <f>SUM(C121:C121)</f>
        <v/>
      </c>
    </row>
    <row r="124" ht="16" customHeight="1" s="41">
      <c r="B124" s="33" t="inlineStr">
        <is>
          <t>TOTAL HxA/AVDF</t>
        </is>
      </c>
      <c r="C124" s="34">
        <f>C76+C118+C122</f>
        <v/>
      </c>
    </row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8" topLeftCell="A9" activePane="bottomLeft" state="frozen"/>
      <selection pane="bottomLeft" activeCell="A1" sqref="A1:D1"/>
    </sheetView>
  </sheetViews>
  <sheetFormatPr baseColWidth="10" defaultColWidth="8.83203125" defaultRowHeight="15"/>
  <cols>
    <col width="12" customWidth="1" style="41" min="1" max="1"/>
    <col width="50" customWidth="1" style="41" min="2" max="2"/>
    <col width="15" customWidth="1" style="41" min="3" max="3"/>
    <col width="35" customWidth="1" style="41" min="4" max="4"/>
  </cols>
  <sheetData>
    <row r="1" ht="19" customHeight="1" s="41">
      <c r="A1" s="45" t="inlineStr">
        <is>
          <t>Tools Competition Grant - Expense Tracking</t>
        </is>
      </c>
    </row>
    <row r="3">
      <c r="A3" s="10" t="inlineStr">
        <is>
          <t>Budget Summary</t>
        </is>
      </c>
    </row>
    <row r="4">
      <c r="A4" s="11" t="inlineStr">
        <is>
          <t>Total Funding Available:</t>
        </is>
      </c>
      <c r="B4" s="12" t="n">
        <v>150000</v>
      </c>
    </row>
    <row r="5">
      <c r="A5" s="11" t="inlineStr">
        <is>
          <t>Total Spent:</t>
        </is>
      </c>
      <c r="B5" s="6">
        <f>C30</f>
        <v/>
      </c>
    </row>
    <row r="6">
      <c r="A6" s="11" t="inlineStr">
        <is>
          <t>Remaining:</t>
        </is>
      </c>
      <c r="B6" s="7">
        <f>B4-ABS(B5)</f>
        <v/>
      </c>
    </row>
    <row r="8">
      <c r="A8" s="13" t="inlineStr">
        <is>
          <t>Date</t>
        </is>
      </c>
      <c r="B8" s="13" t="inlineStr">
        <is>
          <t>Description</t>
        </is>
      </c>
      <c r="C8" s="13" t="inlineStr">
        <is>
          <t>Amount</t>
        </is>
      </c>
      <c r="D8" s="13" t="inlineStr">
        <is>
          <t>Notes</t>
        </is>
      </c>
    </row>
    <row r="9">
      <c r="A9" s="46" t="inlineStr">
        <is>
          <t>Instructor Insights:</t>
        </is>
      </c>
    </row>
    <row r="10">
      <c r="A10" s="14" t="n">
        <v>45923</v>
      </c>
      <c r="B10" s="15" t="inlineStr">
        <is>
          <t>UPWORK * -849030767, SAN FRANCISCO, CA</t>
        </is>
      </c>
      <c r="C10" s="16" t="n">
        <v>-284.31</v>
      </c>
      <c r="D10" s="15" t="inlineStr">
        <is>
          <t>Instructor Insights development</t>
        </is>
      </c>
    </row>
    <row r="11">
      <c r="A11" s="14" t="n">
        <v>45916</v>
      </c>
      <c r="B11" s="15" t="inlineStr">
        <is>
          <t>UPWORK * -846691498, SAN FRANCISCO, CA</t>
        </is>
      </c>
      <c r="C11" s="16" t="n">
        <v>-2568.46</v>
      </c>
      <c r="D11" s="15" t="inlineStr">
        <is>
          <t>Instructor Insights development</t>
        </is>
      </c>
    </row>
    <row r="12">
      <c r="A12" s="14" t="n">
        <v>45910</v>
      </c>
      <c r="B12" s="15" t="inlineStr">
        <is>
          <t>UPWORK * -844873181, SAN FRANCISCO, CA</t>
        </is>
      </c>
      <c r="C12" s="16" t="n">
        <v>-1807.31</v>
      </c>
      <c r="D12" s="15" t="inlineStr">
        <is>
          <t>Instructor Insights development</t>
        </is>
      </c>
    </row>
    <row r="13">
      <c r="A13" s="14" t="n">
        <v>45909</v>
      </c>
      <c r="B13" s="15" t="inlineStr">
        <is>
          <t>UPWORK * -844504240, SAN FRANCISCO, CA</t>
        </is>
      </c>
      <c r="C13" s="16" t="n">
        <v>-1974.38</v>
      </c>
      <c r="D13" s="15" t="inlineStr">
        <is>
          <t>Instructor Insights development</t>
        </is>
      </c>
    </row>
    <row r="14">
      <c r="A14" s="14" t="n">
        <v>45895</v>
      </c>
      <c r="B14" s="15" t="inlineStr">
        <is>
          <t>Upwork -840095937REF, Upwork.com/bi, CA</t>
        </is>
      </c>
      <c r="C14" s="16" t="n">
        <v>-1937.52</v>
      </c>
      <c r="D14" s="15" t="inlineStr">
        <is>
          <t>Instructor Insights development</t>
        </is>
      </c>
    </row>
    <row r="15">
      <c r="A15" s="14" t="n">
        <v>45888</v>
      </c>
      <c r="B15" s="15" t="inlineStr">
        <is>
          <t>UPWORK * -838060455, SAN FRANCISCO, CA</t>
        </is>
      </c>
      <c r="C15" s="16" t="n">
        <v>-1309.94</v>
      </c>
      <c r="D15" s="15" t="inlineStr">
        <is>
          <t>Instructor Insights development</t>
        </is>
      </c>
    </row>
    <row r="16">
      <c r="A16" s="14" t="n">
        <v>45881</v>
      </c>
      <c r="B16" s="15" t="inlineStr">
        <is>
          <t>UPWORK * -835793533, SAN FRANCISCO, CA</t>
        </is>
      </c>
      <c r="C16" s="16" t="n">
        <v>-2288.18</v>
      </c>
      <c r="D16" s="15" t="inlineStr">
        <is>
          <t>Instructor Insights development</t>
        </is>
      </c>
    </row>
    <row r="17">
      <c r="A17" s="14" t="n">
        <v>45881</v>
      </c>
      <c r="B17" s="15" t="inlineStr">
        <is>
          <t>UPWORK * -835928643, SAN FRANCISCO, CA</t>
        </is>
      </c>
      <c r="C17" s="16" t="n">
        <v>-434.37</v>
      </c>
      <c r="D17" s="15" t="inlineStr">
        <is>
          <t>Instructor Insights development</t>
        </is>
      </c>
    </row>
    <row r="18">
      <c r="A18" s="14" t="n">
        <v>45868</v>
      </c>
      <c r="B18" s="15" t="inlineStr">
        <is>
          <t>UPWORK * -831769250, SAN FRANCISCO, CA</t>
        </is>
      </c>
      <c r="C18" s="16" t="n">
        <v>-245.35</v>
      </c>
      <c r="D18" s="15" t="inlineStr">
        <is>
          <t>Instructor Insights development</t>
        </is>
      </c>
    </row>
    <row r="19">
      <c r="A19" s="14" t="n">
        <v>45867</v>
      </c>
      <c r="B19" s="15" t="inlineStr">
        <is>
          <t>UPWORK * -831406601, SAN FRANCISCO, CA</t>
        </is>
      </c>
      <c r="C19" s="16" t="n">
        <v>-2257.82</v>
      </c>
      <c r="D19" s="15" t="inlineStr">
        <is>
          <t>Instructor Insights development</t>
        </is>
      </c>
    </row>
    <row r="20">
      <c r="A20" s="14" t="n">
        <v>45860</v>
      </c>
      <c r="B20" s="15" t="inlineStr">
        <is>
          <t>UPWORK * -829263717, SAN FRANCISCO, CA</t>
        </is>
      </c>
      <c r="C20" s="16" t="n">
        <v>-2657.96</v>
      </c>
      <c r="D20" s="15" t="inlineStr">
        <is>
          <t>Instructor Insights development</t>
        </is>
      </c>
    </row>
    <row r="21">
      <c r="A21" s="14" t="n">
        <v>45846</v>
      </c>
      <c r="B21" s="15" t="inlineStr">
        <is>
          <t>UPWORK * -824937417, SAN FRANCISCO, CA</t>
        </is>
      </c>
      <c r="C21" s="16" t="n">
        <v>-2634.62</v>
      </c>
      <c r="D21" s="15" t="inlineStr">
        <is>
          <t>Instructor Insights development</t>
        </is>
      </c>
    </row>
    <row r="22">
      <c r="A22" s="14" t="n">
        <v>45832</v>
      </c>
      <c r="B22" s="15" t="inlineStr">
        <is>
          <t>UPWORK * -820545441, SAN FRANCISCO, CA</t>
        </is>
      </c>
      <c r="C22" s="16" t="n">
        <v>-1911.38</v>
      </c>
      <c r="D22" s="15" t="inlineStr">
        <is>
          <t>Instructor Insights development</t>
        </is>
      </c>
    </row>
    <row r="23">
      <c r="A23" s="14" t="n">
        <v>45825</v>
      </c>
      <c r="B23" s="15" t="inlineStr">
        <is>
          <t>UPWORK * -818381116, SAN FRANCISCO, CA</t>
        </is>
      </c>
      <c r="C23" s="16" t="n">
        <v>-2775.71</v>
      </c>
      <c r="D23" s="15" t="inlineStr">
        <is>
          <t>Instructor Insights development</t>
        </is>
      </c>
    </row>
    <row r="24">
      <c r="B24" s="11" t="inlineStr">
        <is>
          <t>SUBTOTAL - Instructor Insights</t>
        </is>
      </c>
      <c r="C24" s="17">
        <f>SUM(C10:C23)</f>
        <v/>
      </c>
    </row>
    <row r="26">
      <c r="A26" s="46" t="inlineStr">
        <is>
          <t>ChatMaps:</t>
        </is>
      </c>
    </row>
    <row r="27">
      <c r="B27" s="18" t="inlineStr">
        <is>
          <t>(No costs incurred yet)</t>
        </is>
      </c>
    </row>
    <row r="28">
      <c r="B28" s="11" t="inlineStr">
        <is>
          <t>SUBTOTAL - ChatMaps</t>
        </is>
      </c>
      <c r="C28" s="17" t="n">
        <v>0</v>
      </c>
    </row>
    <row r="30" ht="16" customHeight="1" s="41">
      <c r="B30" s="8" t="inlineStr">
        <is>
          <t>TOTAL SPENT</t>
        </is>
      </c>
      <c r="C30" s="9">
        <f>C24+C28</f>
        <v/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8" topLeftCell="A9" activePane="bottomLeft" state="frozen"/>
      <selection pane="bottomLeft" activeCell="B32" sqref="B32"/>
    </sheetView>
  </sheetViews>
  <sheetFormatPr baseColWidth="10" defaultColWidth="8.83203125" defaultRowHeight="15"/>
  <cols>
    <col width="12" customWidth="1" style="41" min="1" max="1"/>
    <col width="50" customWidth="1" style="41" min="2" max="2"/>
    <col width="15" customWidth="1" style="41" min="3" max="3"/>
    <col width="35" customWidth="1" style="41" min="4" max="4"/>
  </cols>
  <sheetData>
    <row r="1" ht="19" customHeight="1" s="41">
      <c r="A1" s="43" t="inlineStr">
        <is>
          <t>Snider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75000</v>
      </c>
    </row>
    <row r="5">
      <c r="A5" s="26" t="inlineStr">
        <is>
          <t>Total Spent:</t>
        </is>
      </c>
      <c r="B5" s="28">
        <f>C43</f>
        <v/>
      </c>
    </row>
    <row r="6">
      <c r="A6" s="26" t="inlineStr">
        <is>
          <t>Remaining:</t>
        </is>
      </c>
      <c r="B6" s="35">
        <f>B4+B5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45928</v>
      </c>
      <c r="B9" s="31" t="inlineStr">
        <is>
          <t>LYFT *TEMP AUTH HOLD, SAN FRANCISCO, CA</t>
        </is>
      </c>
      <c r="C9" s="32" t="n">
        <v>-53.62</v>
      </c>
      <c r="D9" s="31" t="n"/>
    </row>
    <row r="10">
      <c r="A10" s="30" t="n">
        <v>45925</v>
      </c>
      <c r="B10" s="31" t="inlineStr">
        <is>
          <t>UBR* PENDING.UBER.COM, SAN FRANCISCO, CA</t>
        </is>
      </c>
      <c r="C10" s="32" t="n">
        <v>-22.76</v>
      </c>
      <c r="D10" s="31" t="n"/>
    </row>
    <row r="11">
      <c r="A11" s="30" t="n">
        <v>45925</v>
      </c>
      <c r="B11" s="31" t="inlineStr">
        <is>
          <t>UBER *TRIP, SAN FRANCISCO, CA</t>
        </is>
      </c>
      <c r="C11" s="32" t="n">
        <v>-63.84</v>
      </c>
      <c r="D11" s="31" t="n"/>
    </row>
    <row r="12">
      <c r="A12" s="30" t="n">
        <v>45919</v>
      </c>
      <c r="B12" s="31" t="inlineStr">
        <is>
          <t>UBR* PENDING.UBER.COM, SAN FRANCISCO, CA</t>
        </is>
      </c>
      <c r="C12" s="32" t="n">
        <v>-87.40000000000001</v>
      </c>
      <c r="D12" s="31" t="n"/>
    </row>
    <row r="13">
      <c r="A13" s="30" t="n">
        <v>45916</v>
      </c>
      <c r="B13" s="31" t="inlineStr">
        <is>
          <t>GUSTO, TLR 562239</t>
        </is>
      </c>
      <c r="C13" s="32" t="n">
        <v>424.2</v>
      </c>
      <c r="D13" s="31" t="inlineStr">
        <is>
          <t>Payroll tax refund upon account deactivation (since DW no longer paying any salaries directly)</t>
        </is>
      </c>
    </row>
    <row r="14">
      <c r="A14" s="30" t="n">
        <v>45915</v>
      </c>
      <c r="B14" s="31" t="inlineStr">
        <is>
          <t>AMAZON MKTPLACE PMTS, Amzn.com/bill, WA</t>
        </is>
      </c>
      <c r="C14" s="32" t="n">
        <v>-42.25</v>
      </c>
      <c r="D14" s="31" t="inlineStr">
        <is>
          <t>Office supplies</t>
        </is>
      </c>
    </row>
    <row r="15">
      <c r="A15" s="30" t="n">
        <v>45913</v>
      </c>
      <c r="B15" s="31" t="inlineStr">
        <is>
          <t>DELTA INTERNET DELTA.C, ATLANTA, GA</t>
        </is>
      </c>
      <c r="C15" s="32" t="n">
        <v>-464.96</v>
      </c>
      <c r="D15" s="31" t="n"/>
    </row>
    <row r="16">
      <c r="A16" s="30" t="n">
        <v>45910</v>
      </c>
      <c r="B16" s="31" t="inlineStr">
        <is>
          <t>AMAZON MKTPLACE PMTS, Amzn.com/bill, WA</t>
        </is>
      </c>
      <c r="C16" s="32" t="n">
        <v>-146.99</v>
      </c>
      <c r="D16" s="31" t="inlineStr">
        <is>
          <t>Office supplies</t>
        </is>
      </c>
    </row>
    <row r="17">
      <c r="A17" s="30" t="n">
        <v>45904</v>
      </c>
      <c r="B17" s="31" t="inlineStr">
        <is>
          <t>GUSTO, FEE 091647</t>
        </is>
      </c>
      <c r="C17" s="32" t="n">
        <v>-55</v>
      </c>
      <c r="D17" s="31" t="inlineStr">
        <is>
          <t>Payroll service fee</t>
        </is>
      </c>
    </row>
    <row r="18">
      <c r="A18" s="30" t="n">
        <v>45900</v>
      </c>
      <c r="B18" s="31" t="inlineStr">
        <is>
          <t>ARTICLE 67899, TACOMA, WA</t>
        </is>
      </c>
      <c r="C18" s="32" t="n">
        <v>-1989.16</v>
      </c>
      <c r="D18" s="31" t="inlineStr">
        <is>
          <t>Office furniture (Simon, I need these receipts)</t>
        </is>
      </c>
    </row>
    <row r="19">
      <c r="A19" s="30" t="n">
        <v>45884</v>
      </c>
      <c r="B19" s="31" t="inlineStr">
        <is>
          <t>AMERICAN AIRLINES, PHOENIX, AZ</t>
        </is>
      </c>
      <c r="C19" s="32" t="n">
        <v>-179.53</v>
      </c>
      <c r="D19" s="31" t="n"/>
    </row>
    <row r="20">
      <c r="A20" s="30" t="n">
        <v>45874</v>
      </c>
      <c r="B20" s="31" t="inlineStr">
        <is>
          <t>GUSTO, FEE 979049</t>
        </is>
      </c>
      <c r="C20" s="32" t="n">
        <v>-55</v>
      </c>
      <c r="D20" s="31" t="inlineStr">
        <is>
          <t>Payroll service fee</t>
        </is>
      </c>
    </row>
    <row r="21">
      <c r="A21" s="30" t="n">
        <v>45865</v>
      </c>
      <c r="B21" s="31" t="inlineStr">
        <is>
          <t>LinkedInPreD *25906824, Mountain View, CA</t>
        </is>
      </c>
      <c r="C21" s="32" t="n">
        <v>-577.6799999999999</v>
      </c>
      <c r="D21" s="31" t="inlineStr">
        <is>
          <t>Annual professional LinkedIn account</t>
        </is>
      </c>
    </row>
    <row r="22">
      <c r="A22" s="30" t="n">
        <v>45863</v>
      </c>
      <c r="B22" s="31" t="inlineStr">
        <is>
          <t>GUSTO, TAX 609792</t>
        </is>
      </c>
      <c r="C22" s="32" t="n">
        <v>-686.1</v>
      </c>
      <c r="D22" s="31" t="inlineStr">
        <is>
          <t>Payroll taxes for DiBella salary 7/16/2025-7/25/2025</t>
        </is>
      </c>
    </row>
    <row r="23">
      <c r="A23" s="30" t="n">
        <v>45863</v>
      </c>
      <c r="B23" s="31" t="inlineStr">
        <is>
          <t>GUSTO, NET 610613</t>
        </is>
      </c>
      <c r="C23" s="32" t="n">
        <v>-1768.4</v>
      </c>
      <c r="D23" s="31" t="inlineStr">
        <is>
          <t>DiBella salary for 7/16/2025-7/25/2025</t>
        </is>
      </c>
    </row>
    <row r="24">
      <c r="A24" s="30" t="n">
        <v>45862</v>
      </c>
      <c r="B24" s="31" t="inlineStr">
        <is>
          <t>AMAZON MKTPLACE PMTS, Amzn.com/bill, WA</t>
        </is>
      </c>
      <c r="C24" s="32" t="n">
        <v>-61.47</v>
      </c>
      <c r="D24" s="31" t="inlineStr">
        <is>
          <t>Office supplies</t>
        </is>
      </c>
    </row>
    <row r="25">
      <c r="A25" s="30" t="n">
        <v>45856</v>
      </c>
      <c r="B25" s="31" t="inlineStr">
        <is>
          <t>GUSTO, TAX 386182</t>
        </is>
      </c>
      <c r="C25" s="32" t="n">
        <v>-271.95</v>
      </c>
      <c r="D25" s="31" t="inlineStr">
        <is>
          <t>Payroll taxes for DiBella salary 5/28/2025-5/31/2025</t>
        </is>
      </c>
    </row>
    <row r="26">
      <c r="A26" s="30" t="n">
        <v>45856</v>
      </c>
      <c r="B26" s="31" t="inlineStr">
        <is>
          <t>GUSTO, NET 380064</t>
        </is>
      </c>
      <c r="C26" s="32" t="n">
        <v>-859.23</v>
      </c>
      <c r="D26" s="31" t="inlineStr">
        <is>
          <t>DiBella backpay for 5/28/2025-5/31/2025</t>
        </is>
      </c>
    </row>
    <row r="27">
      <c r="A27" s="30" t="n">
        <v>45855</v>
      </c>
      <c r="B27" s="31" t="inlineStr">
        <is>
          <t>ORLANDO AIRPORT MARR, ORLANDO, FL</t>
        </is>
      </c>
      <c r="C27" s="32" t="n">
        <v>-208.13</v>
      </c>
      <c r="D27" s="31" t="n"/>
    </row>
    <row r="28">
      <c r="A28" s="30" t="n">
        <v>45855</v>
      </c>
      <c r="B28" s="31" t="inlineStr">
        <is>
          <t>GUSTO, NET 277978</t>
        </is>
      </c>
      <c r="C28" s="32" t="n">
        <v>-2808.63</v>
      </c>
      <c r="D28" s="31" t="inlineStr">
        <is>
          <t>DiBella backpay for 7/1/2025-7/15/2025</t>
        </is>
      </c>
    </row>
    <row r="29">
      <c r="A29" s="30" t="n">
        <v>45855</v>
      </c>
      <c r="B29" s="31" t="inlineStr">
        <is>
          <t>GUSTO, TAX 291404</t>
        </is>
      </c>
      <c r="C29" s="32" t="n">
        <v>-1426.04</v>
      </c>
      <c r="D29" s="31" t="inlineStr">
        <is>
          <t>Payroll taxes for DiBella salary 7/1/2025-7/15/2025</t>
        </is>
      </c>
    </row>
    <row r="30">
      <c r="A30" s="30" t="n">
        <v>45855</v>
      </c>
      <c r="B30" s="31" t="inlineStr">
        <is>
          <t>GUSTO, TAX 290030</t>
        </is>
      </c>
      <c r="C30" s="32" t="n">
        <v>-1508.54</v>
      </c>
      <c r="D30" s="31" t="inlineStr">
        <is>
          <t>Payroll taxes for DiBella salary 6/1/2025-6/15/2025</t>
        </is>
      </c>
    </row>
    <row r="31">
      <c r="A31" s="30" t="n">
        <v>45855</v>
      </c>
      <c r="B31" s="31" t="inlineStr">
        <is>
          <t>GUSTO, NET 277978</t>
        </is>
      </c>
      <c r="C31" s="32" t="n">
        <v>-2810.81</v>
      </c>
      <c r="D31" s="31" t="inlineStr">
        <is>
          <t>DiBella backpay for 6/16/2025-6/30/2025</t>
        </is>
      </c>
    </row>
    <row r="32">
      <c r="A32" s="30" t="n">
        <v>45855</v>
      </c>
      <c r="B32" s="31" t="inlineStr">
        <is>
          <t>GUSTO, NET 278975</t>
        </is>
      </c>
      <c r="C32" s="32" t="n">
        <v>-2810.8</v>
      </c>
      <c r="D32" s="31" t="inlineStr">
        <is>
          <t>DiBella backpay for 6/1/2025-6/15/2025</t>
        </is>
      </c>
    </row>
    <row r="33">
      <c r="A33" s="30" t="n">
        <v>45855</v>
      </c>
      <c r="B33" s="31" t="inlineStr">
        <is>
          <t>GUSTO, TAX 291404</t>
        </is>
      </c>
      <c r="C33" s="32" t="n">
        <v>-1502.37</v>
      </c>
      <c r="D33" s="31" t="inlineStr">
        <is>
          <t>Payroll taxes for DiBella salary 6/1/2025-6/15/2025</t>
        </is>
      </c>
    </row>
    <row r="34">
      <c r="A34" s="30" t="n">
        <v>45853</v>
      </c>
      <c r="B34" s="31" t="inlineStr">
        <is>
          <t>DELTA INTERNET DELTA.C, ATLANTA, GA</t>
        </is>
      </c>
      <c r="C34" s="32" t="n">
        <v>-127.93</v>
      </c>
      <c r="D34" s="31" t="n"/>
    </row>
    <row r="35">
      <c r="A35" s="30" t="n">
        <v>45847</v>
      </c>
      <c r="B35" s="31" t="inlineStr">
        <is>
          <t>PA BCCO CORP FEE-DOS, HARRISBURG, PA</t>
        </is>
      </c>
      <c r="C35" s="32" t="n">
        <v>-350</v>
      </c>
      <c r="D35" s="31" t="inlineStr">
        <is>
          <t>Foreign business registration</t>
        </is>
      </c>
    </row>
    <row r="36">
      <c r="A36" s="30" t="n">
        <v>45843</v>
      </c>
      <c r="B36" s="31" t="inlineStr">
        <is>
          <t>DELTA INTERNET DELTA.C, ATLANTA, GA</t>
        </is>
      </c>
      <c r="C36" s="32" t="n">
        <v>-303.49</v>
      </c>
      <c r="D36" s="31" t="n"/>
    </row>
    <row r="37">
      <c r="A37" s="30" t="n">
        <v>45836</v>
      </c>
      <c r="B37" s="31" t="inlineStr">
        <is>
          <t>MARRIOTT BROOKLYN BR, BROOKLYN, NY</t>
        </is>
      </c>
      <c r="C37" s="32" t="n">
        <v>-1074.21</v>
      </c>
      <c r="D37" s="31" t="n"/>
    </row>
    <row r="38">
      <c r="A38" s="30" t="n">
        <v>45827</v>
      </c>
      <c r="B38" s="31" t="inlineStr">
        <is>
          <t>AMERICAN AIRLINES, PHOENIX, AZ</t>
        </is>
      </c>
      <c r="C38" s="32" t="n">
        <v>-580.87</v>
      </c>
      <c r="D38" s="31" t="n"/>
    </row>
    <row r="39">
      <c r="A39" s="30" t="n">
        <v>45821</v>
      </c>
      <c r="B39" s="31" t="inlineStr">
        <is>
          <t>Amazon.com, Amzn.com/bill, WA</t>
        </is>
      </c>
      <c r="C39" s="32" t="n">
        <v>-51.94</v>
      </c>
      <c r="D39" s="31" t="inlineStr">
        <is>
          <t>Office supplies</t>
        </is>
      </c>
    </row>
    <row r="40">
      <c r="A40" s="30" t="n">
        <v>45815</v>
      </c>
      <c r="B40" s="31" t="inlineStr">
        <is>
          <t>DELTA, 800-221-1212, GA</t>
        </is>
      </c>
      <c r="C40" s="32" t="n">
        <v>-552.55</v>
      </c>
      <c r="D40" s="31" t="n"/>
    </row>
    <row r="41">
      <c r="A41" s="30" t="n">
        <v>45815</v>
      </c>
      <c r="B41" s="31" t="inlineStr">
        <is>
          <t>DELTA, 800-221-1212, GA</t>
        </is>
      </c>
      <c r="C41" s="32" t="n">
        <v>-552.55</v>
      </c>
      <c r="D41" s="31" t="n"/>
    </row>
    <row r="43" ht="16" customHeight="1" s="41">
      <c r="B43" s="33" t="inlineStr">
        <is>
          <t>NET SPENT</t>
        </is>
      </c>
      <c r="C43" s="34">
        <f>SUM(C9:C41)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8" topLeftCell="A9" activePane="bottomLeft" state="frozen"/>
      <selection pane="bottomLeft" activeCell="C28" sqref="C28"/>
    </sheetView>
  </sheetViews>
  <sheetFormatPr baseColWidth="10" defaultColWidth="8.83203125" defaultRowHeight="15"/>
  <cols>
    <col width="12" customWidth="1" style="41" min="1" max="1"/>
    <col width="50" customWidth="1" style="41" min="2" max="2"/>
    <col width="15" customWidth="1" style="41" min="3" max="3"/>
    <col width="35" customWidth="1" style="41" min="4" max="4"/>
  </cols>
  <sheetData>
    <row r="1" ht="19" customHeight="1" s="41">
      <c r="A1" s="43" t="inlineStr">
        <is>
          <t>Ben Delo Funding - Expense Tracking</t>
        </is>
      </c>
    </row>
    <row r="3">
      <c r="A3" s="25" t="inlineStr">
        <is>
          <t>Budget Summary</t>
        </is>
      </c>
    </row>
    <row r="4">
      <c r="A4" s="26" t="inlineStr">
        <is>
          <t>Total Funding Available:</t>
        </is>
      </c>
      <c r="B4" s="27" t="n">
        <v>20000</v>
      </c>
    </row>
    <row r="5">
      <c r="A5" s="26" t="inlineStr">
        <is>
          <t>Total Spent:</t>
        </is>
      </c>
      <c r="B5" s="28">
        <f>C35</f>
        <v/>
      </c>
    </row>
    <row r="6">
      <c r="A6" s="26" t="inlineStr">
        <is>
          <t>Remaining:</t>
        </is>
      </c>
      <c r="B6" s="35">
        <f>B4-ABS(B5)</f>
        <v/>
      </c>
    </row>
    <row r="8">
      <c r="A8" s="29" t="inlineStr">
        <is>
          <t>Date</t>
        </is>
      </c>
      <c r="B8" s="29" t="inlineStr">
        <is>
          <t>Description</t>
        </is>
      </c>
      <c r="C8" s="29" t="inlineStr">
        <is>
          <t>Amount</t>
        </is>
      </c>
      <c r="D8" s="29" t="inlineStr">
        <is>
          <t>Notes</t>
        </is>
      </c>
    </row>
    <row r="9">
      <c r="A9" s="30" t="n">
        <v>45932</v>
      </c>
      <c r="B9" s="31" t="inlineStr">
        <is>
          <t>GOOGLE*CLOUD CCNBW5, CC GOOGLE.COM, CA</t>
        </is>
      </c>
      <c r="C9" s="32" t="n">
        <v>-0.01</v>
      </c>
      <c r="D9" s="31" t="inlineStr">
        <is>
          <t>Infrastructure</t>
        </is>
      </c>
    </row>
    <row r="10">
      <c r="A10" s="30" t="n">
        <v>45931</v>
      </c>
      <c r="B10" s="31" t="inlineStr">
        <is>
          <t>GOOGLE *Google One, 650-253-0000, CA</t>
        </is>
      </c>
      <c r="C10" s="32" t="n">
        <v>-21.39</v>
      </c>
      <c r="D10" s="31" t="inlineStr">
        <is>
          <t>Cloud storage/AI subscription</t>
        </is>
      </c>
    </row>
    <row r="11">
      <c r="A11" s="30" t="n">
        <v>45922</v>
      </c>
      <c r="B11" s="31" t="inlineStr">
        <is>
          <t>BILL.COM LLC, BILLING</t>
        </is>
      </c>
      <c r="C11" s="32" t="n">
        <v>-20.33</v>
      </c>
      <c r="D11" s="31" t="inlineStr">
        <is>
          <t>Payment processing fees</t>
        </is>
      </c>
    </row>
    <row r="12">
      <c r="A12" s="30" t="n">
        <v>45918</v>
      </c>
      <c r="B12" s="31" t="inlineStr">
        <is>
          <t>BLOCKED AND REPORTED, BREMERTON, WA</t>
        </is>
      </c>
      <c r="C12" s="32" t="n">
        <v>-75</v>
      </c>
      <c r="D12" s="31" t="inlineStr">
        <is>
          <t>Subscription</t>
        </is>
      </c>
    </row>
    <row r="13">
      <c r="A13" s="30" t="n">
        <v>45910</v>
      </c>
      <c r="B13" s="31" t="inlineStr">
        <is>
          <t>Amazon.com, Amzn.com/bill, WA</t>
        </is>
      </c>
      <c r="C13" s="32" t="n">
        <v>-108.65</v>
      </c>
      <c r="D13" s="31" t="inlineStr">
        <is>
          <t>Office supplies</t>
        </is>
      </c>
    </row>
    <row r="14">
      <c r="A14" s="30" t="n">
        <v>45902</v>
      </c>
      <c r="B14" s="31" t="inlineStr">
        <is>
          <t>GOOGLE *CLOUD Gz9PW9, 650-253-0000, CA</t>
        </is>
      </c>
      <c r="C14" s="32" t="n">
        <v>-0.01</v>
      </c>
      <c r="D14" s="31" t="inlineStr">
        <is>
          <t>Infrastructure</t>
        </is>
      </c>
    </row>
    <row r="15">
      <c r="A15" s="30" t="n">
        <v>45900</v>
      </c>
      <c r="B15" s="31" t="inlineStr">
        <is>
          <t>GOOGLE *Google One, 650-253-0000, CA</t>
        </is>
      </c>
      <c r="C15" s="32" t="n">
        <v>-21.39</v>
      </c>
      <c r="D15" s="31" t="inlineStr">
        <is>
          <t>Cloud storage/AI subscription</t>
        </is>
      </c>
    </row>
    <row r="16">
      <c r="A16" s="30" t="n">
        <v>45898</v>
      </c>
      <c r="B16" s="31" t="inlineStr">
        <is>
          <t>PAY* HANDY.COM-AUG29, INDIANAPOLIS, IN</t>
        </is>
      </c>
      <c r="C16" s="32" t="n">
        <v>-117</v>
      </c>
      <c r="D16" s="31" t="inlineStr">
        <is>
          <t>Fee for furniture setup</t>
        </is>
      </c>
    </row>
    <row r="17">
      <c r="A17" s="30" t="n">
        <v>45898</v>
      </c>
      <c r="B17" s="31" t="inlineStr">
        <is>
          <t>PAY* HANDY.COM-AUG29, INDIANAPOLIS, IN</t>
        </is>
      </c>
      <c r="C17" s="32" t="n">
        <v>-25</v>
      </c>
      <c r="D17" s="31" t="inlineStr">
        <is>
          <t>Rescheduling for furniture setup</t>
        </is>
      </c>
    </row>
    <row r="18">
      <c r="A18" s="30" t="n">
        <v>45897</v>
      </c>
      <c r="B18" s="31" t="inlineStr">
        <is>
          <t>GITHUB, INC., SAN FRANCISCO, CA</t>
        </is>
      </c>
      <c r="C18" s="32" t="n">
        <v>-0.02</v>
      </c>
      <c r="D18" s="31" t="inlineStr">
        <is>
          <t>Development costs</t>
        </is>
      </c>
    </row>
    <row r="19">
      <c r="A19" s="30" t="n">
        <v>45895</v>
      </c>
      <c r="B19" s="31" t="inlineStr">
        <is>
          <t>RESIDENT* NECTAR, JEFFERSONVILL, IN</t>
        </is>
      </c>
      <c r="C19" s="32" t="n">
        <v>-2062.03</v>
      </c>
      <c r="D19" s="31" t="inlineStr">
        <is>
          <t>Nick's adjustable office bed and mattress</t>
        </is>
      </c>
    </row>
    <row r="20">
      <c r="A20" s="30" t="n">
        <v>45891</v>
      </c>
      <c r="B20" s="31" t="inlineStr">
        <is>
          <t>THEVERGE.COM, WASHINGTON DC, DC</t>
        </is>
      </c>
      <c r="C20" s="32" t="n">
        <v>-7</v>
      </c>
      <c r="D20" s="31" t="inlineStr">
        <is>
          <t>Subscription</t>
        </is>
      </c>
    </row>
    <row r="21">
      <c r="A21" s="30" t="n">
        <v>45889</v>
      </c>
      <c r="B21" s="31" t="inlineStr">
        <is>
          <t>BILL.COM LLC, BILLING</t>
        </is>
      </c>
      <c r="C21" s="32" t="n">
        <v>-20.33</v>
      </c>
      <c r="D21" s="31" t="inlineStr">
        <is>
          <t>Payment processing fees</t>
        </is>
      </c>
    </row>
    <row r="22">
      <c r="A22" s="30" t="n">
        <v>45871</v>
      </c>
      <c r="B22" s="31" t="inlineStr">
        <is>
          <t>GOOGLE *CLOUD DzX7TJ, 650-253-0000, CA</t>
        </is>
      </c>
      <c r="C22" s="32" t="n">
        <v>-0.01</v>
      </c>
      <c r="D22" s="31" t="inlineStr">
        <is>
          <t>Infrastructure</t>
        </is>
      </c>
    </row>
    <row r="23">
      <c r="A23" s="30" t="n">
        <v>45869</v>
      </c>
      <c r="B23" s="31" t="inlineStr">
        <is>
          <t>GOOGLE *Google One, 650-253-0000, CA</t>
        </is>
      </c>
      <c r="C23" s="32" t="n">
        <v>-21.39</v>
      </c>
      <c r="D23" s="31" t="inlineStr">
        <is>
          <t>Cloud storage/AI subscription</t>
        </is>
      </c>
    </row>
    <row r="24">
      <c r="A24" s="30" t="n">
        <v>45862</v>
      </c>
      <c r="B24" s="31" t="inlineStr">
        <is>
          <t>Amazon.com, Amzn.com/bill, WA</t>
        </is>
      </c>
      <c r="C24" s="32" t="n">
        <v>-28.08</v>
      </c>
      <c r="D24" s="31" t="inlineStr">
        <is>
          <t>Office supplies</t>
        </is>
      </c>
    </row>
    <row r="25">
      <c r="A25" s="30" t="n">
        <v>45860</v>
      </c>
      <c r="B25" s="31" t="inlineStr">
        <is>
          <t>BILL.COM LLC, BILLING</t>
        </is>
      </c>
      <c r="C25" s="32" t="n">
        <v>-48.15</v>
      </c>
      <c r="D25" s="31" t="inlineStr">
        <is>
          <t>Payment processing fees</t>
        </is>
      </c>
    </row>
    <row r="26">
      <c r="A26" s="30" t="n">
        <v>45851</v>
      </c>
      <c r="B26" s="31" t="inlineStr">
        <is>
          <t>AMAZON MKTPLACE PMTS, Amzn.com/bill, WA</t>
        </is>
      </c>
      <c r="C26" s="32" t="n">
        <v>-49.81</v>
      </c>
      <c r="D26" s="31" t="inlineStr">
        <is>
          <t>Office supplies (still need Simon receipt)</t>
        </is>
      </c>
    </row>
    <row r="27">
      <c r="A27" s="30" t="n">
        <v>45851</v>
      </c>
      <c r="B27" s="31" t="inlineStr">
        <is>
          <t>AMAZON MKTPLACE PMTS, Amzn.com/bill, WA</t>
        </is>
      </c>
      <c r="C27" s="32" t="n">
        <v>-49.81</v>
      </c>
      <c r="D27" s="31" t="inlineStr">
        <is>
          <t>Office supplies</t>
        </is>
      </c>
    </row>
    <row r="28">
      <c r="A28" s="30" t="n">
        <v>45840</v>
      </c>
      <c r="B28" s="31" t="inlineStr">
        <is>
          <t>Google CLOUD zv8S5X, Mountain View, CA</t>
        </is>
      </c>
      <c r="C28" s="32" t="n">
        <v>-0.08</v>
      </c>
      <c r="D28" s="31" t="inlineStr">
        <is>
          <t>Infrastructure</t>
        </is>
      </c>
    </row>
    <row r="29">
      <c r="A29" s="30" t="n">
        <v>45839</v>
      </c>
      <c r="B29" s="31" t="inlineStr">
        <is>
          <t>GOOGLE *Google One, 650-253-0000, CA</t>
        </is>
      </c>
      <c r="C29" s="32" t="n">
        <v>-21.39</v>
      </c>
      <c r="D29" s="31" t="inlineStr">
        <is>
          <t>Cloud storage/AI subscription</t>
        </is>
      </c>
    </row>
    <row r="30">
      <c r="A30" s="30" t="n">
        <v>45838</v>
      </c>
      <c r="B30" s="31" t="inlineStr">
        <is>
          <t>TWILIO SENDGRID, SAN FRANCISCO, CA</t>
        </is>
      </c>
      <c r="C30" s="32" t="n">
        <v>-0.33</v>
      </c>
      <c r="D30" s="31" t="inlineStr">
        <is>
          <t>Infrastructure</t>
        </is>
      </c>
    </row>
    <row r="31">
      <c r="A31" s="30" t="n">
        <v>45831</v>
      </c>
      <c r="B31" s="31" t="inlineStr">
        <is>
          <t>BILL.COM LLC, BILLING</t>
        </is>
      </c>
      <c r="C31" s="32" t="n">
        <v>-45</v>
      </c>
      <c r="D31" s="31" t="inlineStr">
        <is>
          <t>Payment processing fees</t>
        </is>
      </c>
    </row>
    <row r="32">
      <c r="A32" s="30" t="n">
        <v>45806</v>
      </c>
      <c r="B32" s="31" t="inlineStr">
        <is>
          <t>UPWORK * -812363145, SAN FRANCISCO, CA</t>
        </is>
      </c>
      <c r="C32" s="32" t="n">
        <v>-2133.57</v>
      </c>
      <c r="D32" s="31" t="inlineStr">
        <is>
          <t>Development costs</t>
        </is>
      </c>
    </row>
    <row r="33">
      <c r="A33" s="30" t="n">
        <v>45806</v>
      </c>
      <c r="B33" s="31" t="inlineStr">
        <is>
          <t>UPWORK * -812363552, SAN FRANCISCO, CA</t>
        </is>
      </c>
      <c r="C33" s="32" t="n">
        <v>-134.27</v>
      </c>
      <c r="D33" s="31" t="inlineStr">
        <is>
          <t>Development costs</t>
        </is>
      </c>
    </row>
    <row r="35" ht="16" customHeight="1" s="41">
      <c r="A35" s="49" t="n">
        <v>45810</v>
      </c>
      <c r="B35" s="33" t="inlineStr">
        <is>
          <t>DELTA INTERNET DELTA.C, ATLANTA, GA</t>
        </is>
      </c>
      <c r="C35" s="50" t="n">
        <v>-74.98999999999999</v>
      </c>
      <c r="D35" t="inlineStr">
        <is>
          <t>IHE conference; not reimbursed by AVDF</t>
        </is>
      </c>
    </row>
    <row r="36">
      <c r="C36">
        <f>SUM(C9:C35)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2" customWidth="1" style="41" min="1" max="1"/>
    <col width="20" customWidth="1" style="41" min="2" max="2"/>
    <col width="15" customWidth="1" style="41" min="3" max="3"/>
    <col width="30" customWidth="1" style="41" min="4" max="4"/>
  </cols>
  <sheetData>
    <row r="1" ht="19" customHeight="1" s="41">
      <c r="A1" s="47" t="inlineStr">
        <is>
          <t>Interest Earned - Tracking</t>
        </is>
      </c>
    </row>
    <row r="2">
      <c r="A2" s="48" t="inlineStr">
        <is>
          <t>Bank account interest income</t>
        </is>
      </c>
    </row>
    <row r="4">
      <c r="A4" s="19" t="inlineStr">
        <is>
          <t>Date</t>
        </is>
      </c>
      <c r="B4" s="19" t="inlineStr">
        <is>
          <t>Month</t>
        </is>
      </c>
      <c r="C4" s="19" t="inlineStr">
        <is>
          <t>Amount</t>
        </is>
      </c>
      <c r="D4" s="19" t="inlineStr">
        <is>
          <t>Notes</t>
        </is>
      </c>
    </row>
    <row r="5">
      <c r="A5" s="20" t="n">
        <v>45931</v>
      </c>
      <c r="B5" s="21" t="inlineStr">
        <is>
          <t>September 2025</t>
        </is>
      </c>
      <c r="C5" s="22" t="n">
        <v>284.55</v>
      </c>
      <c r="D5" s="21" t="n"/>
    </row>
    <row r="6">
      <c r="A6" s="20" t="n">
        <v>45901</v>
      </c>
      <c r="B6" s="21" t="inlineStr">
        <is>
          <t>August 2025</t>
        </is>
      </c>
      <c r="C6" s="22" t="n">
        <v>356.55</v>
      </c>
      <c r="D6" s="21" t="n"/>
    </row>
    <row r="7">
      <c r="A7" s="20" t="n">
        <v>45870</v>
      </c>
      <c r="B7" s="21" t="inlineStr">
        <is>
          <t>July 2025</t>
        </is>
      </c>
      <c r="C7" s="22" t="n">
        <v>371.16</v>
      </c>
      <c r="D7" s="21" t="n"/>
    </row>
    <row r="8">
      <c r="A8" s="20" t="n">
        <v>45839</v>
      </c>
      <c r="B8" s="21" t="inlineStr">
        <is>
          <t>June 2025</t>
        </is>
      </c>
      <c r="C8" s="22" t="n">
        <v>144.9</v>
      </c>
      <c r="D8" s="21" t="n"/>
    </row>
    <row r="9">
      <c r="A9" s="20" t="n">
        <v>45809</v>
      </c>
      <c r="B9" s="21" t="inlineStr">
        <is>
          <t>May 2025</t>
        </is>
      </c>
      <c r="C9" s="22" t="n">
        <v>4.1</v>
      </c>
      <c r="D9" s="21" t="n"/>
    </row>
    <row r="11" ht="16" customHeight="1" s="41">
      <c r="B11" s="23" t="inlineStr">
        <is>
          <t>TOTAL INTEREST EARNED</t>
        </is>
      </c>
      <c r="C11" s="24">
        <f>SUM(C5:C9)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2025-10-07T02:45:56Z</dcterms:created>
  <dcterms:modified xsi:type="dcterms:W3CDTF">2025-10-11T01:38:17Z</dcterms:modified>
  <cp:lastModifiedBy>Nicholas DiBella</cp:lastModifiedBy>
</cp:coreProperties>
</file>