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"/>
    <numFmt numFmtId="165" formatCode="&quot;$&quot;#,##0.00;[Red]-&quot;$&quot;#,##0.00"/>
    <numFmt numFmtId="166" formatCode="mm/dd/yy"/>
    <numFmt numFmtId="167" formatCode="&quot;$&quot;#,##0.00;[Red]\-&quot;$&quot;#,##0.0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i val="1"/>
      <sz val="10"/>
    </font>
    <font>
      <b val="1"/>
      <color rgb="00FFFFFF"/>
      <sz val="11"/>
    </font>
    <font>
      <b val="1"/>
      <i val="1"/>
    </font>
    <font>
      <b val="1"/>
      <i val="1"/>
      <sz val="10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horizontal="right" indent="2"/>
    </xf>
    <xf numFmtId="165" fontId="7" fillId="3" borderId="0" pivotButton="0" quotePrefix="0" xfId="0"/>
    <xf numFmtId="0" fontId="8" fillId="0" borderId="0" pivotButton="0" quotePrefix="0" xfId="0"/>
    <xf numFmtId="165" fontId="8" fillId="4" borderId="0" pivotButton="0" quotePrefix="0" xfId="0"/>
    <xf numFmtId="0" fontId="9" fillId="0" borderId="0" pivotButton="0" quotePrefix="0" xfId="0"/>
    <xf numFmtId="165" fontId="9" fillId="5" borderId="0" pivotButton="0" quotePrefix="0" xfId="0"/>
    <xf numFmtId="0" fontId="0" fillId="0" borderId="1" applyAlignment="1" pivotButton="0" quotePrefix="0" xfId="0">
      <alignment horizontal="right"/>
    </xf>
    <xf numFmtId="166" fontId="0" fillId="0" borderId="1" pivotButton="0" quotePrefix="0" xfId="0"/>
    <xf numFmtId="167" fontId="0" fillId="0" borderId="1" applyAlignment="1" pivotButton="0" quotePrefix="0" xfId="0">
      <alignment horizontal="right"/>
    </xf>
    <xf numFmtId="167" fontId="0" fillId="0" borderId="0" pivotButton="0" quotePrefix="0" xfId="0"/>
    <xf numFmtId="167" fontId="7" fillId="3" borderId="0" pivotButton="0" quotePrefix="0" xfId="0"/>
    <xf numFmtId="0" fontId="7" fillId="3" borderId="0" pivotButton="0" quotePrefix="0" xfId="0"/>
    <xf numFmtId="166" fontId="0" fillId="0" borderId="0" pivotButton="0" quotePrefix="0" xfId="0"/>
    <xf numFmtId="167" fontId="8" fillId="4" borderId="0" pivotButton="0" quotePrefix="0" xfId="0"/>
    <xf numFmtId="166" fontId="5" fillId="0" borderId="0" pivotButton="0" quotePrefix="0" xfId="0"/>
    <xf numFmtId="0" fontId="8" fillId="4" borderId="0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right"/>
    </xf>
    <xf numFmtId="165" fontId="8" fillId="4" borderId="0" pivotButton="0" quotePrefix="0" xfId="0"/>
    <xf numFmtId="165" fontId="9" fillId="5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50" customWidth="1" min="4" max="4"/>
  </cols>
  <sheetData>
    <row r="1">
      <c r="A1" s="1" t="inlineStr">
        <is>
          <t>Sway Project - Expense Report</t>
        </is>
      </c>
    </row>
    <row r="2">
      <c r="A2" s="2" t="inlineStr">
        <is>
          <t>AVDF Grant via Heterodox Academy</t>
        </is>
      </c>
    </row>
    <row r="3">
      <c r="A3" s="3" t="inlineStr">
        <is>
          <t>Grant Period: June 1, 2025 - November 30, 2026</t>
        </is>
      </c>
    </row>
    <row r="4">
      <c r="A4" s="3" t="inlineStr">
        <is>
          <t>Reporting Period: May - September 2025</t>
        </is>
      </c>
    </row>
    <row r="6">
      <c r="A6" s="4" t="inlineStr">
        <is>
          <t>Date</t>
        </is>
      </c>
      <c r="B6" s="4" t="inlineStr">
        <is>
          <t>Vendor/Service</t>
        </is>
      </c>
      <c r="C6" s="4" t="inlineStr">
        <is>
          <t>Amount</t>
        </is>
      </c>
      <c r="D6" s="4" t="inlineStr">
        <is>
          <t>Notes</t>
        </is>
      </c>
    </row>
    <row r="7">
      <c r="A7" s="5" t="inlineStr">
        <is>
          <t>Infrastructure Costs:</t>
        </is>
      </c>
    </row>
    <row r="8">
      <c r="A8" s="7" t="inlineStr">
        <is>
          <t>Infrastructure Costs:</t>
        </is>
      </c>
      <c r="B8" s="7" t="n"/>
      <c r="C8" s="16" t="n"/>
      <c r="D8" s="7" t="n"/>
    </row>
    <row r="9">
      <c r="A9" s="17" t="n">
        <v>45810</v>
      </c>
      <c r="B9" s="7" t="inlineStr">
        <is>
          <t>GOOGLE*CLOUD JWQ2KX, CC GOOGLE.COM, CA</t>
        </is>
      </c>
      <c r="C9" s="18" t="n">
        <v>-141.21</v>
      </c>
      <c r="D9" s="7" t="inlineStr">
        <is>
          <t>Server costs (GKE)</t>
        </is>
      </c>
    </row>
    <row r="10">
      <c r="A10" s="17" t="n">
        <v>45810</v>
      </c>
      <c r="B10" s="7" t="inlineStr">
        <is>
          <t>Google CLOUD BF9WRT, Mountain View, CA</t>
        </is>
      </c>
      <c r="C10" s="18" t="n">
        <v>-3.55</v>
      </c>
      <c r="D10" s="7" t="inlineStr">
        <is>
          <t>Server costs (GKE)</t>
        </is>
      </c>
    </row>
    <row r="11">
      <c r="A11" s="17" t="n">
        <v>45810</v>
      </c>
      <c r="B11" s="7" t="inlineStr">
        <is>
          <t>GOOGLE *GSUITE_swaybet, 650-253-0000, CA</t>
        </is>
      </c>
      <c r="C11" s="18" t="n">
        <v>-19.26</v>
      </c>
      <c r="D11" s="7" t="inlineStr">
        <is>
          <t>Miscellaneous (email/workspace)</t>
        </is>
      </c>
    </row>
    <row r="12">
      <c r="A12" s="17" t="n">
        <v>45812</v>
      </c>
      <c r="B12" s="7" t="inlineStr">
        <is>
          <t>TWILIO SENDGRID, +18778894546, CA</t>
        </is>
      </c>
      <c r="C12" s="18" t="n">
        <v>-19.95</v>
      </c>
      <c r="D12" s="7" t="inlineStr">
        <is>
          <t>Miscellaneous (SMS/notifications)</t>
        </is>
      </c>
    </row>
    <row r="13">
      <c r="A13" s="17" t="n">
        <v>45816</v>
      </c>
      <c r="B13" s="7" t="inlineStr">
        <is>
          <t>GOOGLE *CLOUD 3V4SRP, 650-253-0000, CA</t>
        </is>
      </c>
      <c r="C13" s="18" t="n">
        <v>-100</v>
      </c>
      <c r="D13" s="7" t="inlineStr">
        <is>
          <t>Server costs (GKE)</t>
        </is>
      </c>
    </row>
    <row r="14">
      <c r="A14" s="17" t="n">
        <v>45817</v>
      </c>
      <c r="B14" s="7" t="inlineStr">
        <is>
          <t>OPENAI, +14158799686, CA</t>
        </is>
      </c>
      <c r="C14" s="18" t="n">
        <v>-150.01</v>
      </c>
      <c r="D14" s="7" t="inlineStr">
        <is>
          <t>AI costs (OpenAI API)</t>
        </is>
      </c>
    </row>
    <row r="15">
      <c r="A15" s="17" t="n">
        <v>45825</v>
      </c>
      <c r="B15" s="7" t="inlineStr">
        <is>
          <t>GOOGLE *CLOUD 5NBJR5, 650-253-0000, CA</t>
        </is>
      </c>
      <c r="C15" s="18" t="n">
        <v>-200</v>
      </c>
      <c r="D15" s="7" t="inlineStr">
        <is>
          <t>Server costs (GKE)</t>
        </is>
      </c>
    </row>
    <row r="16">
      <c r="A16" s="17" t="n">
        <v>45833</v>
      </c>
      <c r="B16" s="7" t="inlineStr">
        <is>
          <t>OPENAI, SAN FRANCISCO, CA</t>
        </is>
      </c>
      <c r="C16" s="18" t="n">
        <v>-106</v>
      </c>
      <c r="D16" s="7" t="inlineStr">
        <is>
          <t>AI costs (OpenAI API)</t>
        </is>
      </c>
    </row>
    <row r="17">
      <c r="A17" s="17" t="n">
        <v>45833</v>
      </c>
      <c r="B17" s="7" t="inlineStr">
        <is>
          <t>SENTRY, SAN FRANCISCO, CA</t>
        </is>
      </c>
      <c r="C17" s="18" t="n">
        <v>-35.42</v>
      </c>
      <c r="D17" s="7" t="inlineStr">
        <is>
          <t>Miscellaneous (error tracking)</t>
        </is>
      </c>
    </row>
    <row r="18">
      <c r="A18" s="17" t="n">
        <v>45838</v>
      </c>
      <c r="B18" s="7" t="inlineStr">
        <is>
          <t>TWILIO INC, SAN FRANCISCO, CA</t>
        </is>
      </c>
      <c r="C18" s="18" t="n">
        <v>-51.74</v>
      </c>
      <c r="D18" s="7" t="inlineStr">
        <is>
          <t>Miscellaneous (SMS/notifications)</t>
        </is>
      </c>
    </row>
    <row r="19">
      <c r="A19" s="17" t="n">
        <v>45840</v>
      </c>
      <c r="B19" s="7" t="inlineStr">
        <is>
          <t>Google CLOUD D9ZB2H, Mountain View, CA</t>
        </is>
      </c>
      <c r="C19" s="18" t="n">
        <v>-48.94</v>
      </c>
      <c r="D19" s="7" t="inlineStr">
        <is>
          <t>Server costs (GKE)</t>
        </is>
      </c>
    </row>
    <row r="20">
      <c r="A20" s="17" t="n">
        <v>45840</v>
      </c>
      <c r="B20" s="7" t="inlineStr">
        <is>
          <t>GOOGLE *CLOUD 6NV35T, 650-253-0000, CA</t>
        </is>
      </c>
      <c r="C20" s="18" t="n">
        <v>-415.66</v>
      </c>
      <c r="D20" s="7" t="inlineStr">
        <is>
          <t>Server costs (GKE)</t>
        </is>
      </c>
    </row>
    <row r="21">
      <c r="A21" s="17" t="n">
        <v>45840</v>
      </c>
      <c r="B21" s="7" t="inlineStr">
        <is>
          <t>GOOGLE *GSUITE_swaybet, 650-253-0000, CA</t>
        </is>
      </c>
      <c r="C21" s="18" t="n">
        <v>-19.26</v>
      </c>
      <c r="D21" s="7" t="inlineStr">
        <is>
          <t>Miscellaneous (email/workspace)</t>
        </is>
      </c>
    </row>
    <row r="22">
      <c r="A22" s="17" t="n">
        <v>45842</v>
      </c>
      <c r="B22" s="7" t="inlineStr">
        <is>
          <t>TWILIO SENDGRID, SAN FRANCISCO, CA</t>
        </is>
      </c>
      <c r="C22" s="18" t="n">
        <v>-24.95</v>
      </c>
      <c r="D22" s="7" t="inlineStr">
        <is>
          <t>Miscellaneous (SMS/notifications)</t>
        </is>
      </c>
    </row>
    <row r="23">
      <c r="A23" s="17" t="n">
        <v>45848</v>
      </c>
      <c r="B23" s="7" t="inlineStr">
        <is>
          <t>HEROKU* JUN-106457466, SAN FRANCISCO, CA</t>
        </is>
      </c>
      <c r="C23" s="18" t="n">
        <v>-16.17</v>
      </c>
      <c r="D23" s="7" t="inlineStr">
        <is>
          <t>Server costs</t>
        </is>
      </c>
    </row>
    <row r="24">
      <c r="A24" s="17" t="n">
        <v>45858</v>
      </c>
      <c r="B24" s="7" t="inlineStr">
        <is>
          <t>ANTHROPIC, SAN FRANCISCO, CA</t>
        </is>
      </c>
      <c r="C24" s="18" t="n">
        <v>-53.5</v>
      </c>
      <c r="D24" s="7" t="inlineStr">
        <is>
          <t>AI costs (Anthropic API)</t>
        </is>
      </c>
    </row>
    <row r="25">
      <c r="A25" s="17" t="n">
        <v>45858</v>
      </c>
      <c r="B25" s="7" t="inlineStr">
        <is>
          <t>GOOGLE *CLOUD 8J3KDR, 650-253-0000, CA</t>
        </is>
      </c>
      <c r="C25" s="18" t="n">
        <v>-500</v>
      </c>
      <c r="D25" s="7" t="inlineStr">
        <is>
          <t>Server costs (GKE)</t>
        </is>
      </c>
    </row>
    <row r="26">
      <c r="A26" s="17" t="n">
        <v>45859</v>
      </c>
      <c r="B26" s="7" t="inlineStr">
        <is>
          <t>OPENAI, SAN FRANCISCO, CA</t>
        </is>
      </c>
      <c r="C26" s="18" t="n">
        <v>-150.14</v>
      </c>
      <c r="D26" s="7" t="inlineStr">
        <is>
          <t>AI costs (OpenAI API)</t>
        </is>
      </c>
    </row>
    <row r="27">
      <c r="A27" s="17" t="n">
        <v>45863</v>
      </c>
      <c r="B27" s="7" t="inlineStr">
        <is>
          <t>SENTRY, SAN FRANCISCO, CA</t>
        </is>
      </c>
      <c r="C27" s="18" t="n">
        <v>-35.77</v>
      </c>
      <c r="D27" s="7" t="inlineStr">
        <is>
          <t>Miscellaneous (error tracking)</t>
        </is>
      </c>
    </row>
    <row r="28">
      <c r="A28" s="17" t="n">
        <v>45869</v>
      </c>
      <c r="B28" s="7" t="inlineStr">
        <is>
          <t>TWILIO INC, SAN FRANCISCO, CA</t>
        </is>
      </c>
      <c r="C28" s="18" t="n">
        <v>-52.76</v>
      </c>
      <c r="D28" s="7" t="inlineStr">
        <is>
          <t>Miscellaneous (SMS/notifications)</t>
        </is>
      </c>
    </row>
    <row r="29">
      <c r="A29" s="17" t="n">
        <v>45871</v>
      </c>
      <c r="B29" s="7" t="inlineStr">
        <is>
          <t>GOOGLE *CLOUD 9vKT9W, 650-253-0000, CA</t>
        </is>
      </c>
      <c r="C29" s="18" t="n">
        <v>-407.98</v>
      </c>
      <c r="D29" s="7" t="inlineStr">
        <is>
          <t>Server costs (GKE)</t>
        </is>
      </c>
    </row>
    <row r="30">
      <c r="A30" s="17" t="n">
        <v>45871</v>
      </c>
      <c r="B30" s="7" t="inlineStr">
        <is>
          <t>GOOGLE *GSUITE_swaybet, 650-253-0000, CA</t>
        </is>
      </c>
      <c r="C30" s="18" t="n">
        <v>-19.26</v>
      </c>
      <c r="D30" s="7" t="inlineStr">
        <is>
          <t>Miscellaneous (email/workspace)</t>
        </is>
      </c>
    </row>
    <row r="31">
      <c r="A31" s="17" t="n">
        <v>45875</v>
      </c>
      <c r="B31" s="7" t="inlineStr">
        <is>
          <t>TWILIO SENDGRID, SAN FRANCISCO, CA</t>
        </is>
      </c>
      <c r="C31" s="18" t="n">
        <v>-24.95</v>
      </c>
      <c r="D31" s="7" t="inlineStr">
        <is>
          <t>Miscellaneous (SMS/notifications)</t>
        </is>
      </c>
    </row>
    <row r="32">
      <c r="A32" s="17" t="n">
        <v>45877</v>
      </c>
      <c r="B32" s="7" t="inlineStr">
        <is>
          <t>HEROKU* JUL-107024988, SAN FRANCISCO, CA</t>
        </is>
      </c>
      <c r="C32" s="18" t="n">
        <v>-17</v>
      </c>
      <c r="D32" s="7" t="inlineStr">
        <is>
          <t>Server costs</t>
        </is>
      </c>
    </row>
    <row r="33">
      <c r="A33" s="17" t="n">
        <v>45881</v>
      </c>
      <c r="B33" s="7" t="inlineStr">
        <is>
          <t>OPENAI, SAN FRANCISCO, CA</t>
        </is>
      </c>
      <c r="C33" s="18" t="n">
        <v>-150.07</v>
      </c>
      <c r="D33" s="7" t="inlineStr">
        <is>
          <t>AI costs (OpenAI API)</t>
        </is>
      </c>
    </row>
    <row r="34">
      <c r="A34" s="17" t="n">
        <v>45894</v>
      </c>
      <c r="B34" s="7" t="inlineStr">
        <is>
          <t>SENTRY, SAN FRANCISCO, CA</t>
        </is>
      </c>
      <c r="C34" s="18" t="n">
        <v>-41.29</v>
      </c>
      <c r="D34" s="7" t="inlineStr">
        <is>
          <t>Miscellaneous (error tracking)</t>
        </is>
      </c>
    </row>
    <row r="35">
      <c r="A35" s="17" t="n">
        <v>45894</v>
      </c>
      <c r="B35" s="7" t="inlineStr">
        <is>
          <t>CHATBASE, TORONTO, ON</t>
        </is>
      </c>
      <c r="C35" s="18" t="n">
        <v>-40</v>
      </c>
      <c r="D35" s="7" t="inlineStr">
        <is>
          <t>Miscellaneous (support bot)</t>
        </is>
      </c>
    </row>
    <row r="36">
      <c r="A36" s="17" t="n">
        <v>45897</v>
      </c>
      <c r="B36" s="7" t="inlineStr">
        <is>
          <t>GOOGLE *CLOUD 5Q42V6, 650-253-0000, CA</t>
        </is>
      </c>
      <c r="C36" s="18" t="n">
        <v>-1000</v>
      </c>
      <c r="D36" s="7" t="inlineStr">
        <is>
          <t>Server costs (GKE)</t>
        </is>
      </c>
    </row>
    <row r="37">
      <c r="A37" s="17" t="n">
        <v>45900</v>
      </c>
      <c r="B37" s="7" t="inlineStr">
        <is>
          <t>TWILIO INC, SAN FRANCISCO, CA</t>
        </is>
      </c>
      <c r="C37" s="18" t="n">
        <v>-50.74</v>
      </c>
      <c r="D37" s="7" t="inlineStr">
        <is>
          <t>Miscellaneous (SMS/notifications)</t>
        </is>
      </c>
    </row>
    <row r="38">
      <c r="A38" s="17" t="n">
        <v>45902</v>
      </c>
      <c r="B38" s="7" t="inlineStr">
        <is>
          <t>GOOGLE *CLOUD DM4Q6H, 650-253-0000, CA</t>
        </is>
      </c>
      <c r="C38" s="18" t="n">
        <v>-180.58</v>
      </c>
      <c r="D38" s="7" t="inlineStr">
        <is>
          <t>Server costs (GKE)</t>
        </is>
      </c>
    </row>
    <row r="39">
      <c r="A39" s="17" t="n">
        <v>45902</v>
      </c>
      <c r="B39" s="7" t="inlineStr">
        <is>
          <t>GOOGLE *GSUITE_swaybet, 650-253-0000, CA</t>
        </is>
      </c>
      <c r="C39" s="18" t="n">
        <v>-19.26</v>
      </c>
      <c r="D39" s="7" t="inlineStr">
        <is>
          <t>Miscellaneous (email/workspace)</t>
        </is>
      </c>
    </row>
    <row r="40">
      <c r="A40" s="17" t="n">
        <v>45904</v>
      </c>
      <c r="B40" s="7" t="inlineStr">
        <is>
          <t>TWILIO SENDGRID, SAN FRANCISCO, CA</t>
        </is>
      </c>
      <c r="C40" s="18" t="n">
        <v>-59.98</v>
      </c>
      <c r="D40" s="7" t="inlineStr">
        <is>
          <t>Miscellaneous (SMS/notifications)</t>
        </is>
      </c>
    </row>
    <row r="41">
      <c r="A41" s="17" t="n">
        <v>45909</v>
      </c>
      <c r="B41" s="7" t="inlineStr">
        <is>
          <t>HEROKU* AUG-107582724, SAN FRANCISCO, CA</t>
        </is>
      </c>
      <c r="C41" s="18" t="n">
        <v>-17</v>
      </c>
      <c r="D41" s="7" t="inlineStr">
        <is>
          <t>Server costs</t>
        </is>
      </c>
    </row>
    <row r="42">
      <c r="A42" s="17" t="n">
        <v>45910</v>
      </c>
      <c r="B42" s="7" t="inlineStr">
        <is>
          <t>OPENAI, SAN FRANCISCO, CA</t>
        </is>
      </c>
      <c r="C42" s="18" t="n">
        <v>-150.03</v>
      </c>
      <c r="D42" s="7" t="inlineStr">
        <is>
          <t>AI costs (OpenAI API)</t>
        </is>
      </c>
    </row>
    <row r="43">
      <c r="A43" s="17" t="n">
        <v>45910</v>
      </c>
      <c r="B43" s="7" t="inlineStr">
        <is>
          <t>ANTHROPIC, SAN FRANCISCO, CA</t>
        </is>
      </c>
      <c r="C43" s="18" t="n">
        <v>-400.23</v>
      </c>
      <c r="D43" s="7" t="inlineStr">
        <is>
          <t>AI costs (Anthropic API)</t>
        </is>
      </c>
    </row>
    <row r="44">
      <c r="A44" s="17" t="n">
        <v>45925</v>
      </c>
      <c r="B44" s="7" t="inlineStr">
        <is>
          <t>SENTRY, SAN FRANCISCO, CA</t>
        </is>
      </c>
      <c r="C44" s="18" t="n">
        <v>-41.73</v>
      </c>
      <c r="D44" s="7" t="inlineStr">
        <is>
          <t>Miscellaneous (error tracking)</t>
        </is>
      </c>
    </row>
    <row r="45">
      <c r="A45" s="17" t="n">
        <v>45925</v>
      </c>
      <c r="B45" s="7" t="inlineStr">
        <is>
          <t>CHATBASE, TORONTO, ON</t>
        </is>
      </c>
      <c r="C45" s="18" t="n">
        <v>-40</v>
      </c>
      <c r="D45" s="7" t="inlineStr">
        <is>
          <t>Miscellaneous (support bot)</t>
        </is>
      </c>
    </row>
    <row r="46">
      <c r="A46" s="17" t="n">
        <v>45930</v>
      </c>
      <c r="B46" s="7" t="inlineStr">
        <is>
          <t>TWILIO INC, SAN FRANCISCO, CA</t>
        </is>
      </c>
      <c r="C46" s="18" t="n">
        <v>-142.74</v>
      </c>
      <c r="D46" s="7" t="inlineStr">
        <is>
          <t>Miscellaneous (SMS/notifications)</t>
        </is>
      </c>
    </row>
    <row r="47">
      <c r="A47" s="17" t="n">
        <v>45932</v>
      </c>
      <c r="B47" s="7" t="inlineStr">
        <is>
          <t>GOOGLE *CLOUD 3vKNVH, 650-253-0000, CA</t>
        </is>
      </c>
      <c r="C47" s="18" t="n">
        <v>-867.92</v>
      </c>
      <c r="D47" s="7" t="inlineStr">
        <is>
          <t>Server costs (GKE)</t>
        </is>
      </c>
    </row>
    <row r="48">
      <c r="A48" s="17" t="n">
        <v>45934</v>
      </c>
      <c r="B48" s="7" t="inlineStr">
        <is>
          <t>TWILIO SENDGRID, SAN FRANCISCO, CA</t>
        </is>
      </c>
      <c r="C48" s="18" t="n">
        <v>-24.95</v>
      </c>
      <c r="D48" s="7" t="inlineStr">
        <is>
          <t>Miscellaneous (SMS/notifications)</t>
        </is>
      </c>
    </row>
    <row r="49">
      <c r="A49" s="7" t="n"/>
      <c r="B49" s="7" t="n"/>
      <c r="C49" s="16" t="n"/>
      <c r="D49" s="7" t="n"/>
    </row>
    <row r="50">
      <c r="A50" s="7" t="n"/>
      <c r="B50" s="7" t="inlineStr">
        <is>
          <t>Infrastructure Sub-totals:</t>
        </is>
      </c>
      <c r="C50" s="16" t="n"/>
      <c r="D50" s="7" t="n"/>
    </row>
    <row r="51">
      <c r="A51" s="7" t="n"/>
      <c r="B51" s="7" t="inlineStr">
        <is>
          <t>AI costs</t>
        </is>
      </c>
      <c r="C51" s="18" t="n">
        <v>-1159.98</v>
      </c>
      <c r="D51" s="7" t="n"/>
    </row>
    <row r="52">
      <c r="B52" t="inlineStr">
        <is>
          <t>Server costs</t>
        </is>
      </c>
      <c r="C52" s="19" t="n">
        <v>-3916.01</v>
      </c>
    </row>
    <row r="53">
      <c r="B53" s="9" t="inlineStr">
        <is>
          <t>Miscellaneous</t>
        </is>
      </c>
      <c r="C53" s="19" t="n">
        <v>-764.01</v>
      </c>
    </row>
    <row r="54">
      <c r="B54" s="10" t="inlineStr">
        <is>
          <t>SUBTOTAL - Infrastructure</t>
        </is>
      </c>
      <c r="C54" s="20">
        <f>C51+C52+C53</f>
        <v/>
      </c>
    </row>
    <row r="55">
      <c r="B55" s="10" t="n"/>
      <c r="C55" s="21">
        <f>C51+C52+C53</f>
        <v/>
      </c>
    </row>
    <row r="56">
      <c r="A56" t="inlineStr">
        <is>
          <t>Development Costs:</t>
        </is>
      </c>
      <c r="B56" s="10" t="n"/>
      <c r="C56" s="21" t="n"/>
    </row>
    <row r="57">
      <c r="A57" s="22" t="n">
        <v>45811</v>
      </c>
      <c r="B57" t="inlineStr">
        <is>
          <t>UPWORK * -814085609, SAN FRANCISCO, CA</t>
        </is>
      </c>
      <c r="C57" s="19" t="n">
        <v>-2197.43</v>
      </c>
      <c r="D57" t="inlineStr">
        <is>
          <t>Software development</t>
        </is>
      </c>
    </row>
    <row r="58">
      <c r="A58" s="22" t="n">
        <v>45813</v>
      </c>
      <c r="B58" s="12" t="inlineStr">
        <is>
          <t>UPWORK * -814655596, SAN FRANCISCO, CA</t>
        </is>
      </c>
      <c r="C58" s="23" t="n">
        <v>-150.06</v>
      </c>
      <c r="D58" t="inlineStr">
        <is>
          <t>Software development</t>
        </is>
      </c>
    </row>
    <row r="59">
      <c r="A59" s="22" t="n">
        <v>45817</v>
      </c>
      <c r="B59" t="inlineStr">
        <is>
          <t>OPENAI *CHATGPT SUBSCR, +14158799686, CA</t>
        </is>
      </c>
      <c r="C59" s="19" t="n">
        <v>-20</v>
      </c>
      <c r="D59" t="inlineStr">
        <is>
          <t>AI research tool</t>
        </is>
      </c>
    </row>
    <row r="60">
      <c r="A60" s="17" t="n">
        <v>45825</v>
      </c>
      <c r="B60" s="30" t="n"/>
      <c r="C60" s="30" t="n"/>
      <c r="D60" s="31" t="n"/>
    </row>
    <row r="61">
      <c r="A61" s="17" t="n">
        <v>45825</v>
      </c>
      <c r="B61" s="7" t="inlineStr">
        <is>
          <t>TWINR INC., +14388807741, CAN</t>
        </is>
      </c>
      <c r="C61" s="18" t="n">
        <v>-2</v>
      </c>
      <c r="D61" s="7" t="inlineStr">
        <is>
          <t>Mobile app platform</t>
        </is>
      </c>
    </row>
    <row r="62">
      <c r="A62" s="17" t="n">
        <v>45828</v>
      </c>
      <c r="B62" s="7" t="inlineStr">
        <is>
          <t>TWINR INC., VAUDREUIL-DOR, QC</t>
        </is>
      </c>
      <c r="C62" s="18" t="n">
        <v>-87.5</v>
      </c>
      <c r="D62" s="7" t="inlineStr">
        <is>
          <t>Mobile app platform</t>
        </is>
      </c>
    </row>
    <row r="63">
      <c r="A63" s="17" t="n">
        <v>45828</v>
      </c>
      <c r="B63" s="7" t="inlineStr">
        <is>
          <t>TWINR INC., +14388807741, CAN</t>
        </is>
      </c>
      <c r="C63" s="18" t="n">
        <v>-2</v>
      </c>
      <c r="D63" s="7" t="inlineStr">
        <is>
          <t>Mobile app platform</t>
        </is>
      </c>
    </row>
    <row r="64">
      <c r="A64" s="17" t="n">
        <v>45829</v>
      </c>
      <c r="B64" s="7" t="inlineStr">
        <is>
          <t>CURSOR, AI POWERED IDE, NEW YORK, NY</t>
        </is>
      </c>
      <c r="C64" s="18" t="n">
        <v>-21.4</v>
      </c>
      <c r="D64" s="7" t="inlineStr">
        <is>
          <t>AI coding tool</t>
        </is>
      </c>
    </row>
    <row r="65">
      <c r="A65" s="17" t="n">
        <v>45839</v>
      </c>
      <c r="B65" s="7" t="inlineStr">
        <is>
          <t>UPWORK * -822754447, SAN FRANCISCO, CA</t>
        </is>
      </c>
      <c r="C65" s="18" t="n">
        <v>-2250.8</v>
      </c>
      <c r="D65" s="7" t="inlineStr">
        <is>
          <t>Software development</t>
        </is>
      </c>
    </row>
    <row r="66">
      <c r="A66" s="17" t="n">
        <v>45845</v>
      </c>
      <c r="B66" s="7" t="inlineStr">
        <is>
          <t>OPENAI *CHATGPT SUBSCR, SAN FRANCISCO, CA</t>
        </is>
      </c>
      <c r="C66" s="18" t="n">
        <v>-20</v>
      </c>
      <c r="D66" s="7" t="inlineStr">
        <is>
          <t>AI research tool</t>
        </is>
      </c>
    </row>
    <row r="67">
      <c r="A67" s="17" t="n">
        <v>45847</v>
      </c>
      <c r="B67" s="7" t="inlineStr">
        <is>
          <t>OPENAI *CHATGPT SUBSCR, SAN FRANCISCO, CA</t>
        </is>
      </c>
      <c r="C67" s="18" t="n">
        <v>-21.2</v>
      </c>
      <c r="D67" s="7" t="inlineStr">
        <is>
          <t>AI research tool</t>
        </is>
      </c>
    </row>
    <row r="68">
      <c r="A68" s="17" t="n">
        <v>45853</v>
      </c>
      <c r="B68" s="7" t="inlineStr">
        <is>
          <t>UPWORK * -827095899, SAN FRANCISCO, CA</t>
        </is>
      </c>
      <c r="C68" s="18" t="n">
        <v>-2444.02</v>
      </c>
      <c r="D68" s="7" t="inlineStr">
        <is>
          <t>Software development</t>
        </is>
      </c>
    </row>
    <row r="69">
      <c r="A69" s="17" t="n">
        <v>45855</v>
      </c>
      <c r="B69" s="7" t="inlineStr">
        <is>
          <t>TWINR INC., VAUDREUIL-DOR, QC</t>
        </is>
      </c>
      <c r="C69" s="18" t="n">
        <v>-2</v>
      </c>
      <c r="D69" s="7" t="inlineStr">
        <is>
          <t>Mobile app platform</t>
        </is>
      </c>
    </row>
    <row r="70">
      <c r="A70" s="17" t="n">
        <v>45855</v>
      </c>
      <c r="B70" s="7" t="inlineStr">
        <is>
          <t>TWINR INC., VAUDREUIL-DOR, QC</t>
        </is>
      </c>
      <c r="C70" s="18" t="n">
        <v>-93.75</v>
      </c>
      <c r="D70" s="7" t="inlineStr">
        <is>
          <t>Mobile app platform</t>
        </is>
      </c>
    </row>
    <row r="71">
      <c r="A71" s="17" t="n">
        <v>45856</v>
      </c>
      <c r="B71" s="7" t="inlineStr">
        <is>
          <t>UPWORK * -827860618, SAN FRANCISCO, CA</t>
        </is>
      </c>
      <c r="C71" s="18" t="n">
        <v>-658.67</v>
      </c>
      <c r="D71" s="7" t="inlineStr">
        <is>
          <t>Software development</t>
        </is>
      </c>
    </row>
    <row r="72">
      <c r="A72" s="17" t="n">
        <v>45858</v>
      </c>
      <c r="B72" s="7" t="inlineStr">
        <is>
          <t>TWINR INC., VAUDREUIL-DOR, QC</t>
        </is>
      </c>
      <c r="C72" s="18" t="n">
        <v>-2</v>
      </c>
      <c r="D72" s="7" t="inlineStr">
        <is>
          <t>Mobile app platform</t>
        </is>
      </c>
    </row>
    <row r="73">
      <c r="A73" s="17" t="n">
        <v>45859</v>
      </c>
      <c r="B73" s="7" t="inlineStr">
        <is>
          <t>CURSOR, AI POWERED IDE, NEW YORK, NY</t>
        </is>
      </c>
      <c r="C73" s="18" t="n">
        <v>-21.4</v>
      </c>
      <c r="D73" s="7" t="inlineStr">
        <is>
          <t>AI coding tool</t>
        </is>
      </c>
    </row>
    <row r="74">
      <c r="A74" s="17" t="n">
        <v>45874</v>
      </c>
      <c r="B74" s="7" t="inlineStr">
        <is>
          <t>UPWORK * -833617888, SAN FRANCISCO, CA</t>
        </is>
      </c>
      <c r="C74" s="18" t="n">
        <v>-2133.04</v>
      </c>
      <c r="D74" s="7" t="inlineStr">
        <is>
          <t>Software development</t>
        </is>
      </c>
    </row>
    <row r="75">
      <c r="A75" s="17" t="n">
        <v>45876</v>
      </c>
      <c r="B75" s="7" t="inlineStr">
        <is>
          <t>OPENAI *CHATGPT SUBSCR, SAN FRANCISCO, CA</t>
        </is>
      </c>
      <c r="C75" s="18" t="n">
        <v>-21.2</v>
      </c>
      <c r="D75" s="7" t="inlineStr">
        <is>
          <t>AI research tool</t>
        </is>
      </c>
    </row>
    <row r="76">
      <c r="A76" s="17" t="n">
        <v>45878</v>
      </c>
      <c r="B76" s="7" t="inlineStr">
        <is>
          <t>OPENAI *CHATGPT SUBSCR, SAN FRANCISCO, CA</t>
        </is>
      </c>
      <c r="C76" s="18" t="n">
        <v>-20</v>
      </c>
      <c r="D76" s="7" t="inlineStr">
        <is>
          <t>AI research tool</t>
        </is>
      </c>
    </row>
    <row r="77">
      <c r="A77" s="17" t="n">
        <v>45879</v>
      </c>
      <c r="B77" s="7" t="inlineStr">
        <is>
          <t>CURSOR USAGE JUL, NEW YORK, NY</t>
        </is>
      </c>
      <c r="C77" s="18" t="n">
        <v>-10.7</v>
      </c>
      <c r="D77" s="7" t="inlineStr">
        <is>
          <t>AI coding tool</t>
        </is>
      </c>
    </row>
    <row r="78">
      <c r="A78" s="17" t="n">
        <v>45883</v>
      </c>
      <c r="B78" s="7" t="inlineStr">
        <is>
          <t>DUN&amp; BRADSTREET ONLINE, 800-892-2980, CA</t>
        </is>
      </c>
      <c r="C78" s="18" t="n">
        <v>-249.32</v>
      </c>
      <c r="D78" s="7" t="inlineStr">
        <is>
          <t>Business credibility (req. for Play Store)</t>
        </is>
      </c>
    </row>
    <row r="79">
      <c r="A79" s="17" t="n">
        <v>45888</v>
      </c>
      <c r="B79" s="7" t="inlineStr">
        <is>
          <t>UPWORK * -837926041, SAN FRANCISCO, CA</t>
        </is>
      </c>
      <c r="C79" s="18" t="n">
        <v>-2309.23</v>
      </c>
      <c r="D79" s="7" t="inlineStr">
        <is>
          <t>Software development</t>
        </is>
      </c>
    </row>
    <row r="80">
      <c r="A80" s="17" t="n">
        <v>45890</v>
      </c>
      <c r="B80" s="7" t="inlineStr">
        <is>
          <t>CURSOR, AI POWERED IDE, NEW YORK, NY</t>
        </is>
      </c>
      <c r="C80" s="18" t="n">
        <v>-21.4</v>
      </c>
      <c r="D80" s="7" t="inlineStr">
        <is>
          <t>AI coding tool</t>
        </is>
      </c>
    </row>
    <row r="81">
      <c r="A81" s="17" t="n">
        <v>45902</v>
      </c>
      <c r="B81" s="7" t="inlineStr">
        <is>
          <t>Upwork -842277294REF, Upwork.com/bi, CA</t>
        </is>
      </c>
      <c r="C81" s="18" t="n">
        <v>-1942.79</v>
      </c>
      <c r="D81" s="7" t="inlineStr">
        <is>
          <t>Software development</t>
        </is>
      </c>
    </row>
    <row r="82">
      <c r="A82" s="17" t="n">
        <v>45905</v>
      </c>
      <c r="B82" s="7" t="inlineStr">
        <is>
          <t>Upwork -843074981REF, Upwork.com/bi, CA</t>
        </is>
      </c>
      <c r="C82" s="18" t="n">
        <v>-340.12</v>
      </c>
      <c r="D82" s="7" t="inlineStr">
        <is>
          <t>Software development</t>
        </is>
      </c>
    </row>
    <row r="83">
      <c r="A83" s="17" t="n">
        <v>45907</v>
      </c>
      <c r="B83" s="7" t="inlineStr">
        <is>
          <t>OPENAI *CHATGPT SUBSCR, SAN FRANCISCO, CA</t>
        </is>
      </c>
      <c r="C83" s="18" t="n">
        <v>-21.2</v>
      </c>
      <c r="D83" s="7" t="inlineStr">
        <is>
          <t>AI research tool</t>
        </is>
      </c>
    </row>
    <row r="84">
      <c r="A84" s="17" t="n">
        <v>45909</v>
      </c>
      <c r="B84" s="7" t="inlineStr">
        <is>
          <t>OPENAI *CHATGPT SUBSCR, SAN FRANCISCO, CA</t>
        </is>
      </c>
      <c r="C84" s="18" t="n">
        <v>-20</v>
      </c>
      <c r="D84" s="7" t="inlineStr">
        <is>
          <t>AI research tool</t>
        </is>
      </c>
    </row>
    <row r="85">
      <c r="A85" s="17" t="n">
        <v>45910</v>
      </c>
      <c r="B85" s="7" t="inlineStr">
        <is>
          <t>CURSOR USAGE AUG, NEW YORK, NY</t>
        </is>
      </c>
      <c r="C85" s="18" t="n">
        <v>-10.7</v>
      </c>
      <c r="D85" s="7" t="inlineStr">
        <is>
          <t>AI coding tool</t>
        </is>
      </c>
    </row>
    <row r="86">
      <c r="A86" s="17" t="n">
        <v>45915</v>
      </c>
      <c r="B86" s="7" t="inlineStr">
        <is>
          <t>APPLE.COM/BILL, 866-712-7753, CA</t>
        </is>
      </c>
      <c r="C86" s="18" t="n">
        <v>-107.6</v>
      </c>
      <c r="D86" s="7" t="inlineStr">
        <is>
          <t>App Store membership</t>
        </is>
      </c>
    </row>
    <row r="87">
      <c r="A87" s="17" t="n">
        <v>45920</v>
      </c>
      <c r="B87" s="7" t="inlineStr">
        <is>
          <t>TWINR INC., VAUDREUIL-DOR, QC</t>
        </is>
      </c>
      <c r="C87" s="18" t="n">
        <v>-2</v>
      </c>
      <c r="D87" s="7" t="inlineStr">
        <is>
          <t>Mobile app platform</t>
        </is>
      </c>
    </row>
    <row r="88">
      <c r="A88" s="17" t="n">
        <v>45920</v>
      </c>
      <c r="B88" s="7" t="inlineStr">
        <is>
          <t>TWINR INC., VAUDREUIL-DOR, QC</t>
        </is>
      </c>
      <c r="C88" s="18" t="n">
        <v>-68.5</v>
      </c>
      <c r="D88" s="7" t="inlineStr">
        <is>
          <t>Mobile app platform</t>
        </is>
      </c>
    </row>
    <row r="89">
      <c r="A89" s="17" t="n">
        <v>45921</v>
      </c>
      <c r="B89" s="7" t="inlineStr">
        <is>
          <t>Google Play, Mountain View, CA</t>
        </is>
      </c>
      <c r="C89" s="18" t="n">
        <v>-25</v>
      </c>
      <c r="D89" s="7" t="inlineStr">
        <is>
          <t>Play Store registration</t>
        </is>
      </c>
    </row>
    <row r="90">
      <c r="A90" s="17" t="n">
        <v>45921</v>
      </c>
      <c r="B90" s="7" t="inlineStr">
        <is>
          <t>CURSOR, AI POWERED IDE, NEW YORK, NY</t>
        </is>
      </c>
      <c r="C90" s="18" t="n">
        <v>-21.4</v>
      </c>
      <c r="D90" s="7" t="inlineStr">
        <is>
          <t>AI coding tool</t>
        </is>
      </c>
    </row>
    <row r="91">
      <c r="A91" s="17" t="n">
        <v>45923</v>
      </c>
      <c r="B91" s="7" t="inlineStr">
        <is>
          <t>UPWORK * -848892068, SAN FRANCISCO, CA</t>
        </is>
      </c>
      <c r="C91" s="18" t="n">
        <v>-2621.11</v>
      </c>
      <c r="D91" s="7" t="inlineStr">
        <is>
          <t>Software development</t>
        </is>
      </c>
    </row>
    <row r="92">
      <c r="A92" s="17" t="n">
        <v>45930</v>
      </c>
      <c r="B92" s="7" t="inlineStr">
        <is>
          <t>UPWORK * -851118015, SAN FRANCISCO, CA</t>
        </is>
      </c>
      <c r="C92" s="18" t="n">
        <v>-315.9</v>
      </c>
      <c r="D92" s="7" t="inlineStr">
        <is>
          <t>Software development</t>
        </is>
      </c>
    </row>
    <row r="93">
      <c r="A93" s="17" t="n">
        <v>45930</v>
      </c>
      <c r="B93" s="7" t="inlineStr">
        <is>
          <t>UPWORK * -851257804, SAN FRANCISCO, CA</t>
        </is>
      </c>
      <c r="C93" s="18" t="n">
        <v>-1948.93</v>
      </c>
      <c r="D93" s="7" t="inlineStr">
        <is>
          <t>Software development</t>
        </is>
      </c>
    </row>
    <row r="94">
      <c r="A94" s="7" t="n"/>
      <c r="B94" s="7" t="inlineStr">
        <is>
          <t>SUBTOTAL - Development</t>
        </is>
      </c>
      <c r="C94" s="18">
        <f>SUM(C57:C93)</f>
        <v/>
      </c>
      <c r="D94" s="7" t="n"/>
    </row>
    <row r="95">
      <c r="A95" s="7" t="n"/>
      <c r="B95" s="7" t="n"/>
      <c r="C95" s="16" t="n"/>
      <c r="D95" s="7" t="n"/>
    </row>
    <row r="96">
      <c r="A96" s="7" t="inlineStr">
        <is>
          <t>Website Costs:</t>
        </is>
      </c>
      <c r="B96" s="7" t="n"/>
      <c r="C96" s="16" t="n"/>
      <c r="D96" s="7" t="n"/>
    </row>
    <row r="97">
      <c r="A97" s="17" t="n">
        <v>45846</v>
      </c>
      <c r="B97" s="7" t="inlineStr">
        <is>
          <t>NAME-CHEAP.COM* LY0OMY, PHOENIX, AZ</t>
        </is>
      </c>
      <c r="C97" s="18" t="n">
        <v>-32.36</v>
      </c>
      <c r="D97" s="7" t="inlineStr">
        <is>
          <t>Domain registration</t>
        </is>
      </c>
    </row>
    <row r="98">
      <c r="A98" s="7" t="n"/>
      <c r="B98" s="7" t="inlineStr">
        <is>
          <t>SUBTOTAL - Website</t>
        </is>
      </c>
      <c r="C98" s="18">
        <f>SUM(C97:C97)</f>
        <v/>
      </c>
      <c r="D98" s="7" t="n"/>
    </row>
    <row r="99">
      <c r="B99" s="12" t="n"/>
      <c r="C99" s="25" t="n"/>
    </row>
    <row r="100">
      <c r="B100" t="inlineStr">
        <is>
          <t>TOTAL HxA/AVDF</t>
        </is>
      </c>
      <c r="C100" s="19">
        <f>C55+C94+C98</f>
        <v/>
      </c>
    </row>
    <row r="101">
      <c r="A101" s="5" t="n"/>
    </row>
    <row r="102"/>
  </sheetData>
  <mergeCells count="7">
    <mergeCell ref="A102:D102"/>
    <mergeCell ref="A1:D1"/>
    <mergeCell ref="A4:D4"/>
    <mergeCell ref="A3:D3"/>
    <mergeCell ref="A7:D7"/>
    <mergeCell ref="A2:D2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2025-10-09T07:38:32Z</dcterms:created>
  <dcterms:modified xsi:type="dcterms:W3CDTF">2025-10-12T21:58:11Z</dcterms:modified>
</cp:coreProperties>
</file>