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ibella/Desktop/Sway/Disagree Wisely, Inc./Business expenses/AVDF:HxA/Up to early Oct 2025/"/>
    </mc:Choice>
  </mc:AlternateContent>
  <xr:revisionPtr revIDLastSave="0" documentId="13_ncr:1_{C4B3E61D-C4D5-964A-B7D7-F3B890960E0F}" xr6:coauthVersionLast="47" xr6:coauthVersionMax="47" xr10:uidLastSave="{00000000-0000-0000-0000-000000000000}"/>
  <bookViews>
    <workbookView xWindow="6560" yWindow="780" windowWidth="29400" windowHeight="17640" xr2:uid="{00000000-000D-0000-FFFF-FFFF00000000}"/>
  </bookViews>
  <sheets>
    <sheet name="Expense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8" i="1" l="1"/>
  <c r="C94" i="1"/>
  <c r="C52" i="1"/>
  <c r="C100" i="1" l="1"/>
</calcChain>
</file>

<file path=xl/sharedStrings.xml><?xml version="1.0" encoding="utf-8"?>
<sst xmlns="http://schemas.openxmlformats.org/spreadsheetml/2006/main" count="185" uniqueCount="87">
  <si>
    <t>Sway Project - Expense Report</t>
  </si>
  <si>
    <t>AVDF Grant via Heterodox Academy</t>
  </si>
  <si>
    <t>Reporting Period: up to early Oct 2025</t>
  </si>
  <si>
    <t>Date</t>
  </si>
  <si>
    <t>Description</t>
  </si>
  <si>
    <t>Amount</t>
  </si>
  <si>
    <t>Notes</t>
  </si>
  <si>
    <t>Infrastructure Costs:</t>
  </si>
  <si>
    <t>GOOGLE*CLOUD JWQ2KX, CC GOOGLE.COM, CA</t>
  </si>
  <si>
    <t>Server costs (GKE)</t>
  </si>
  <si>
    <t>Google CLOUD BF9WRT, Mountain View, CA</t>
  </si>
  <si>
    <t>GOOGLE *GSUITE_swaybet, 650-253-0000, CA</t>
  </si>
  <si>
    <t>Miscellaneous (email/workspace)</t>
  </si>
  <si>
    <t>TWILIO SENDGRID, +18778894546, CA</t>
  </si>
  <si>
    <t>Miscellaneous (SMS/notifications)</t>
  </si>
  <si>
    <t>GOOGLE *CLOUD 3V4SRP, 650-253-0000, CA</t>
  </si>
  <si>
    <t>OPENAI, +14158799686, CA</t>
  </si>
  <si>
    <t>AI costs (OpenAI API)</t>
  </si>
  <si>
    <t>GOOGLE *CLOUD 5NBJR5, 650-253-0000, CA</t>
  </si>
  <si>
    <t>OPENAI, SAN FRANCISCO, CA</t>
  </si>
  <si>
    <t>SENTRY, SAN FRANCISCO, CA</t>
  </si>
  <si>
    <t>Miscellaneous (error tracking)</t>
  </si>
  <si>
    <t>TWILIO INC, SAN FRANCISCO, CA</t>
  </si>
  <si>
    <t>Google CLOUD D9ZB2H, Mountain View, CA</t>
  </si>
  <si>
    <t>GOOGLE *CLOUD 6NV35T, 650-253-0000, CA</t>
  </si>
  <si>
    <t>TWILIO SENDGRID, SAN FRANCISCO, CA</t>
  </si>
  <si>
    <t>HEROKU* JUN-106457466, SAN FRANCISCO, CA</t>
  </si>
  <si>
    <t>Server costs</t>
  </si>
  <si>
    <t>ANTHROPIC, SAN FRANCISCO, CA</t>
  </si>
  <si>
    <t>AI costs (Anthropic API)</t>
  </si>
  <si>
    <t>GOOGLE *CLOUD 8J3KDR, 650-253-0000, CA</t>
  </si>
  <si>
    <t>GOOGLE *CLOUD 9vKT9W, 650-253-0000, CA</t>
  </si>
  <si>
    <t>HEROKU* JUL-107024988, SAN FRANCISCO, CA</t>
  </si>
  <si>
    <t>CHATBASE, TORONTO, ON</t>
  </si>
  <si>
    <t>Miscellaneous (support bot)</t>
  </si>
  <si>
    <t>GOOGLE *CLOUD 5Q42V6, 650-253-0000, CA</t>
  </si>
  <si>
    <t>GOOGLE *CLOUD DM4Q6H, 650-253-0000, CA</t>
  </si>
  <si>
    <t>HEROKU* AUG-107582724, SAN FRANCISCO, CA</t>
  </si>
  <si>
    <t>GOOGLE *CLOUD 3vKNVH, 650-253-0000, CA</t>
  </si>
  <si>
    <t>Infrastructure Sub-totals:</t>
  </si>
  <si>
    <t>AI costs</t>
  </si>
  <si>
    <t>Miscellaneous</t>
  </si>
  <si>
    <t>SUBTOTAL - Infrastructure</t>
  </si>
  <si>
    <t>Development Costs:</t>
  </si>
  <si>
    <t>UPWORK * -814085609, SAN FRANCISCO, CA</t>
  </si>
  <si>
    <t>Software development</t>
  </si>
  <si>
    <t>UPWORK * -814655596, SAN FRANCISCO, CA</t>
  </si>
  <si>
    <t>OPENAI *CHATGPT SUBSCR, +14158799686, CA</t>
  </si>
  <si>
    <t>AI research tool</t>
  </si>
  <si>
    <t>UPWORK * -816238517, SAN FRANCISCO, CA</t>
  </si>
  <si>
    <t>TWINR INC., +14388807741, CAN</t>
  </si>
  <si>
    <t>Mobile app platform</t>
  </si>
  <si>
    <t>TWINR INC., VAUDREUIL-DOR, QC</t>
  </si>
  <si>
    <t>CURSOR, AI POWERED IDE, NEW YORK, NY</t>
  </si>
  <si>
    <t>AI coding tool</t>
  </si>
  <si>
    <t>UPWORK * -822754447, SAN FRANCISCO, CA</t>
  </si>
  <si>
    <t>OPENAI *CHATGPT SUBSCR, SAN FRANCISCO, CA</t>
  </si>
  <si>
    <t>UPWORK * -827095899, SAN FRANCISCO, CA</t>
  </si>
  <si>
    <t>UPWORK * -827860618, SAN FRANCISCO, CA</t>
  </si>
  <si>
    <t>UPWORK * -833617888, SAN FRANCISCO, CA</t>
  </si>
  <si>
    <t>CURSOR USAGE JUL, NEW YORK, NY</t>
  </si>
  <si>
    <t>DUN&amp; BRADSTREET ONLINE, 800-892-2980, CA</t>
  </si>
  <si>
    <t>Business credibility (req. for Play Store)</t>
  </si>
  <si>
    <t>UPWORK * -837926041, SAN FRANCISCO, CA</t>
  </si>
  <si>
    <t>Upwork -842277294REF, Upwork.com/bi, CA</t>
  </si>
  <si>
    <t>Upwork -843074981REF, Upwork.com/bi, CA</t>
  </si>
  <si>
    <t>CURSOR USAGE AUG, NEW YORK, NY</t>
  </si>
  <si>
    <t>APPLE.COM/BILL, 866-712-7753, CA</t>
  </si>
  <si>
    <t>Apple Developer Program</t>
  </si>
  <si>
    <t>Google Play, Mountain View, CA</t>
  </si>
  <si>
    <t>Play Store registration</t>
  </si>
  <si>
    <t>UPWORK * -848892068, SAN FRANCISCO, CA</t>
  </si>
  <si>
    <t>UPWORK * -851257804, SAN FRANCISCO, CA</t>
  </si>
  <si>
    <t>UPWORK * -851118015, SAN FRANCISCO, CA</t>
  </si>
  <si>
    <t>SUBTOTAL - Development</t>
  </si>
  <si>
    <t>Website Costs:</t>
  </si>
  <si>
    <t>NAME-CHEAP.COM* LY0OMY, PHOENIX, AZ</t>
  </si>
  <si>
    <t>Domain registration</t>
  </si>
  <si>
    <t>SUBTOTAL - Website</t>
  </si>
  <si>
    <t>TOTAL EXPENSES</t>
  </si>
  <si>
    <t>I certify that these expenses were incurred by Disagree Wisely, Inc. pursuant to the Umbrella Services Agreement with Heterodox Academy, Inc. and are consistent with the AVDF-approved budget. All supporting documentation is accurate and complete.</t>
  </si>
  <si>
    <t>Submitted by:</t>
  </si>
  <si>
    <t>_________________________________________</t>
  </si>
  <si>
    <t>Nicholas DiBella</t>
  </si>
  <si>
    <t>Treasurer</t>
  </si>
  <si>
    <t>Disagree Wisely, Inc.</t>
  </si>
  <si>
    <r>
      <rPr>
        <b/>
        <sz val="12"/>
        <rFont val="Calibri (Body)"/>
      </rPr>
      <t>Date:</t>
    </r>
    <r>
      <rPr>
        <sz val="12"/>
        <rFont val="Calibri (Body)"/>
      </rPr>
      <t xml:space="preserve"> _____________________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</si>
</sst>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&quot;$&quot;#,##0.00;[Red]\-&quot;$&quot;#,##0.00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i/>
      <sz val="11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  <family val="2"/>
    </font>
    <font>
      <b/>
      <i/>
      <sz val="11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sz val="12"/>
      <color theme="1"/>
      <name val="Calibri (Body)"/>
    </font>
    <font>
      <b/>
      <sz val="12"/>
      <name val="Calibri (Body)"/>
    </font>
    <font>
      <b/>
      <sz val="12"/>
      <color theme="1"/>
      <name val="Calibri (Body)"/>
    </font>
    <font>
      <sz val="12"/>
      <name val="Calibri (Body)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0E0E0"/>
        <bgColor rgb="FFE0E0E0"/>
      </patternFill>
    </fill>
    <fill>
      <patternFill patternType="solid">
        <fgColor rgb="FFD3D3D3"/>
        <bgColor rgb="FFD3D3D3"/>
      </patternFill>
    </fill>
    <fill>
      <patternFill patternType="solid">
        <fgColor rgb="FFE8E8E8"/>
        <bgColor rgb="FFE8E8E8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4"/>
  </cellStyleXfs>
  <cellXfs count="41">
    <xf numFmtId="0" fontId="0" fillId="0" borderId="0" xfId="0" applyBorder="1"/>
    <xf numFmtId="0" fontId="5" fillId="0" borderId="1" xfId="0" applyFont="1" applyBorder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0" fillId="0" borderId="2" xfId="0" applyBorder="1"/>
    <xf numFmtId="164" fontId="0" fillId="0" borderId="2" xfId="0" applyNumberFormat="1" applyBorder="1"/>
    <xf numFmtId="165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165" fontId="0" fillId="0" borderId="2" xfId="0" applyNumberFormat="1" applyBorder="1"/>
    <xf numFmtId="0" fontId="6" fillId="0" borderId="2" xfId="0" applyFont="1" applyBorder="1" applyAlignment="1">
      <alignment horizontal="right" indent="2"/>
    </xf>
    <xf numFmtId="0" fontId="6" fillId="0" borderId="2" xfId="0" applyFont="1" applyBorder="1"/>
    <xf numFmtId="0" fontId="9" fillId="0" borderId="2" xfId="0" applyFont="1" applyBorder="1"/>
    <xf numFmtId="165" fontId="6" fillId="0" borderId="2" xfId="0" applyNumberFormat="1" applyFont="1" applyBorder="1"/>
    <xf numFmtId="0" fontId="8" fillId="0" borderId="2" xfId="0" applyFont="1" applyBorder="1"/>
    <xf numFmtId="165" fontId="8" fillId="0" borderId="2" xfId="0" applyNumberFormat="1" applyFont="1" applyBorder="1"/>
    <xf numFmtId="0" fontId="7" fillId="0" borderId="2" xfId="0" applyFont="1" applyBorder="1"/>
    <xf numFmtId="0" fontId="10" fillId="0" borderId="2" xfId="0" applyFont="1" applyBorder="1"/>
    <xf numFmtId="0" fontId="8" fillId="0" borderId="2" xfId="0" applyFont="1" applyBorder="1" applyAlignment="1">
      <alignment horizontal="left"/>
    </xf>
    <xf numFmtId="0" fontId="11" fillId="3" borderId="5" xfId="0" applyFont="1" applyFill="1" applyBorder="1" applyAlignment="1">
      <alignment horizontal="left" vertical="center"/>
    </xf>
    <xf numFmtId="165" fontId="11" fillId="3" borderId="5" xfId="0" applyNumberFormat="1" applyFont="1" applyFill="1" applyBorder="1" applyAlignment="1">
      <alignment horizontal="right" vertical="center"/>
    </xf>
    <xf numFmtId="0" fontId="11" fillId="3" borderId="5" xfId="0" applyFont="1" applyFill="1" applyBorder="1" applyAlignment="1">
      <alignment horizontal="right" vertical="center"/>
    </xf>
    <xf numFmtId="0" fontId="11" fillId="4" borderId="5" xfId="0" applyFont="1" applyFill="1" applyBorder="1" applyAlignment="1">
      <alignment horizontal="left" vertical="center"/>
    </xf>
    <xf numFmtId="165" fontId="11" fillId="4" borderId="5" xfId="0" applyNumberFormat="1" applyFont="1" applyFill="1" applyBorder="1" applyAlignment="1">
      <alignment horizontal="right" vertical="center"/>
    </xf>
    <xf numFmtId="0" fontId="11" fillId="4" borderId="5" xfId="0" applyFont="1" applyFill="1" applyBorder="1" applyAlignment="1">
      <alignment horizontal="right" vertical="center"/>
    </xf>
    <xf numFmtId="0" fontId="12" fillId="5" borderId="6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right" vertical="center"/>
    </xf>
    <xf numFmtId="0" fontId="11" fillId="5" borderId="6" xfId="0" applyFont="1" applyFill="1" applyBorder="1" applyAlignment="1">
      <alignment horizontal="left" vertical="center"/>
    </xf>
    <xf numFmtId="165" fontId="11" fillId="5" borderId="6" xfId="0" applyNumberFormat="1" applyFont="1" applyFill="1" applyBorder="1" applyAlignment="1">
      <alignment horizontal="right" vertical="center"/>
    </xf>
    <xf numFmtId="0" fontId="0" fillId="0" borderId="0" xfId="0" applyBorder="1"/>
    <xf numFmtId="0" fontId="13" fillId="0" borderId="4" xfId="0" applyFont="1" applyAlignment="1">
      <alignment horizontal="left" vertical="top" wrapText="1"/>
    </xf>
    <xf numFmtId="0" fontId="13" fillId="0" borderId="0" xfId="0" applyFont="1" applyBorder="1"/>
    <xf numFmtId="0" fontId="13" fillId="0" borderId="1" xfId="0" applyFont="1" applyBorder="1"/>
    <xf numFmtId="0" fontId="14" fillId="0" borderId="3" xfId="0" applyFont="1" applyBorder="1"/>
    <xf numFmtId="0" fontId="13" fillId="0" borderId="1" xfId="0" applyFont="1" applyBorder="1" applyAlignment="1">
      <alignment horizontal="left"/>
    </xf>
    <xf numFmtId="0" fontId="13" fillId="0" borderId="3" xfId="0" applyFont="1" applyBorder="1"/>
    <xf numFmtId="0" fontId="15" fillId="0" borderId="3" xfId="0" applyFont="1" applyBorder="1"/>
    <xf numFmtId="0" fontId="15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7"/>
  <sheetViews>
    <sheetView tabSelected="1" zoomScaleNormal="100" workbookViewId="0">
      <pane ySplit="5" topLeftCell="A81" activePane="bottomLeft" state="frozen"/>
      <selection pane="bottomLeft" activeCell="B104" sqref="B104"/>
    </sheetView>
  </sheetViews>
  <sheetFormatPr baseColWidth="10" defaultColWidth="8.83203125" defaultRowHeight="15" x14ac:dyDescent="0.2"/>
  <cols>
    <col min="1" max="1" width="12" customWidth="1"/>
    <col min="2" max="2" width="45" customWidth="1"/>
    <col min="3" max="3" width="15" customWidth="1"/>
    <col min="4" max="4" width="35" customWidth="1"/>
  </cols>
  <sheetData>
    <row r="1" spans="1:4" ht="21" customHeight="1" x14ac:dyDescent="0.25">
      <c r="A1" s="3" t="s">
        <v>0</v>
      </c>
      <c r="B1" s="2"/>
      <c r="C1" s="2"/>
      <c r="D1" s="2"/>
    </row>
    <row r="2" spans="1:4" x14ac:dyDescent="0.2">
      <c r="A2" s="4" t="s">
        <v>1</v>
      </c>
      <c r="B2" s="2"/>
      <c r="C2" s="2"/>
      <c r="D2" s="2"/>
    </row>
    <row r="3" spans="1:4" x14ac:dyDescent="0.2">
      <c r="A3" s="5" t="s">
        <v>2</v>
      </c>
      <c r="B3" s="2"/>
      <c r="C3" s="2"/>
      <c r="D3" s="2"/>
    </row>
    <row r="4" spans="1:4" x14ac:dyDescent="0.2">
      <c r="A4" s="2"/>
      <c r="B4" s="2"/>
      <c r="C4" s="2"/>
      <c r="D4" s="2"/>
    </row>
    <row r="5" spans="1:4" x14ac:dyDescent="0.2">
      <c r="A5" s="6" t="s">
        <v>3</v>
      </c>
      <c r="B5" s="6" t="s">
        <v>4</v>
      </c>
      <c r="C5" s="6" t="s">
        <v>5</v>
      </c>
      <c r="D5" s="6" t="s">
        <v>6</v>
      </c>
    </row>
    <row r="6" spans="1:4" x14ac:dyDescent="0.2">
      <c r="A6" s="7" t="s">
        <v>7</v>
      </c>
      <c r="B6" s="8"/>
      <c r="C6" s="8"/>
      <c r="D6" s="8"/>
    </row>
    <row r="7" spans="1:4" x14ac:dyDescent="0.2">
      <c r="A7" s="9">
        <v>45810</v>
      </c>
      <c r="B7" s="8" t="s">
        <v>8</v>
      </c>
      <c r="C7" s="10">
        <v>-141.21</v>
      </c>
      <c r="D7" s="8" t="s">
        <v>9</v>
      </c>
    </row>
    <row r="8" spans="1:4" x14ac:dyDescent="0.2">
      <c r="A8" s="9">
        <v>45810</v>
      </c>
      <c r="B8" s="8" t="s">
        <v>10</v>
      </c>
      <c r="C8" s="10">
        <v>-3.55</v>
      </c>
      <c r="D8" s="8" t="s">
        <v>9</v>
      </c>
    </row>
    <row r="9" spans="1:4" x14ac:dyDescent="0.2">
      <c r="A9" s="9">
        <v>45810</v>
      </c>
      <c r="B9" s="8" t="s">
        <v>11</v>
      </c>
      <c r="C9" s="10">
        <v>-19.260000000000002</v>
      </c>
      <c r="D9" s="8" t="s">
        <v>12</v>
      </c>
    </row>
    <row r="10" spans="1:4" x14ac:dyDescent="0.2">
      <c r="A10" s="9">
        <v>45812</v>
      </c>
      <c r="B10" s="8" t="s">
        <v>13</v>
      </c>
      <c r="C10" s="10">
        <v>-19.95</v>
      </c>
      <c r="D10" s="8" t="s">
        <v>14</v>
      </c>
    </row>
    <row r="11" spans="1:4" x14ac:dyDescent="0.2">
      <c r="A11" s="9">
        <v>45816</v>
      </c>
      <c r="B11" s="8" t="s">
        <v>15</v>
      </c>
      <c r="C11" s="10">
        <v>-100</v>
      </c>
      <c r="D11" s="8" t="s">
        <v>9</v>
      </c>
    </row>
    <row r="12" spans="1:4" x14ac:dyDescent="0.2">
      <c r="A12" s="9">
        <v>45817</v>
      </c>
      <c r="B12" s="8" t="s">
        <v>16</v>
      </c>
      <c r="C12" s="10">
        <v>-150.01</v>
      </c>
      <c r="D12" s="8" t="s">
        <v>17</v>
      </c>
    </row>
    <row r="13" spans="1:4" x14ac:dyDescent="0.2">
      <c r="A13" s="9">
        <v>45825</v>
      </c>
      <c r="B13" s="8" t="s">
        <v>18</v>
      </c>
      <c r="C13" s="10">
        <v>-200</v>
      </c>
      <c r="D13" s="8" t="s">
        <v>9</v>
      </c>
    </row>
    <row r="14" spans="1:4" x14ac:dyDescent="0.2">
      <c r="A14" s="9">
        <v>45833</v>
      </c>
      <c r="B14" s="8" t="s">
        <v>19</v>
      </c>
      <c r="C14" s="10">
        <v>-106</v>
      </c>
      <c r="D14" s="8" t="s">
        <v>17</v>
      </c>
    </row>
    <row r="15" spans="1:4" x14ac:dyDescent="0.2">
      <c r="A15" s="9">
        <v>45833</v>
      </c>
      <c r="B15" s="8" t="s">
        <v>20</v>
      </c>
      <c r="C15" s="10">
        <v>-35.42</v>
      </c>
      <c r="D15" s="8" t="s">
        <v>21</v>
      </c>
    </row>
    <row r="16" spans="1:4" x14ac:dyDescent="0.2">
      <c r="A16" s="9">
        <v>45838</v>
      </c>
      <c r="B16" s="8" t="s">
        <v>22</v>
      </c>
      <c r="C16" s="10">
        <v>-51.74</v>
      </c>
      <c r="D16" s="8" t="s">
        <v>14</v>
      </c>
    </row>
    <row r="17" spans="1:4" x14ac:dyDescent="0.2">
      <c r="A17" s="9">
        <v>45840</v>
      </c>
      <c r="B17" s="8" t="s">
        <v>23</v>
      </c>
      <c r="C17" s="10">
        <v>-48.94</v>
      </c>
      <c r="D17" s="8" t="s">
        <v>9</v>
      </c>
    </row>
    <row r="18" spans="1:4" x14ac:dyDescent="0.2">
      <c r="A18" s="9">
        <v>45840</v>
      </c>
      <c r="B18" s="8" t="s">
        <v>24</v>
      </c>
      <c r="C18" s="10">
        <v>-415.66</v>
      </c>
      <c r="D18" s="8" t="s">
        <v>9</v>
      </c>
    </row>
    <row r="19" spans="1:4" x14ac:dyDescent="0.2">
      <c r="A19" s="9">
        <v>45840</v>
      </c>
      <c r="B19" s="8" t="s">
        <v>11</v>
      </c>
      <c r="C19" s="10">
        <v>-19.260000000000002</v>
      </c>
      <c r="D19" s="8" t="s">
        <v>12</v>
      </c>
    </row>
    <row r="20" spans="1:4" x14ac:dyDescent="0.2">
      <c r="A20" s="9">
        <v>45842</v>
      </c>
      <c r="B20" s="8" t="s">
        <v>25</v>
      </c>
      <c r="C20" s="10">
        <v>-24.95</v>
      </c>
      <c r="D20" s="8" t="s">
        <v>14</v>
      </c>
    </row>
    <row r="21" spans="1:4" x14ac:dyDescent="0.2">
      <c r="A21" s="9">
        <v>45848</v>
      </c>
      <c r="B21" s="8" t="s">
        <v>26</v>
      </c>
      <c r="C21" s="10">
        <v>-16.170000000000002</v>
      </c>
      <c r="D21" s="8" t="s">
        <v>27</v>
      </c>
    </row>
    <row r="22" spans="1:4" x14ac:dyDescent="0.2">
      <c r="A22" s="9">
        <v>45858</v>
      </c>
      <c r="B22" s="8" t="s">
        <v>28</v>
      </c>
      <c r="C22" s="10">
        <v>-53.5</v>
      </c>
      <c r="D22" s="8" t="s">
        <v>29</v>
      </c>
    </row>
    <row r="23" spans="1:4" x14ac:dyDescent="0.2">
      <c r="A23" s="9">
        <v>45858</v>
      </c>
      <c r="B23" s="8" t="s">
        <v>30</v>
      </c>
      <c r="C23" s="10">
        <v>-500</v>
      </c>
      <c r="D23" s="8" t="s">
        <v>9</v>
      </c>
    </row>
    <row r="24" spans="1:4" x14ac:dyDescent="0.2">
      <c r="A24" s="9">
        <v>45859</v>
      </c>
      <c r="B24" s="8" t="s">
        <v>19</v>
      </c>
      <c r="C24" s="10">
        <v>-150.13999999999999</v>
      </c>
      <c r="D24" s="8" t="s">
        <v>17</v>
      </c>
    </row>
    <row r="25" spans="1:4" x14ac:dyDescent="0.2">
      <c r="A25" s="9">
        <v>45863</v>
      </c>
      <c r="B25" s="8" t="s">
        <v>20</v>
      </c>
      <c r="C25" s="10">
        <v>-35.770000000000003</v>
      </c>
      <c r="D25" s="8" t="s">
        <v>21</v>
      </c>
    </row>
    <row r="26" spans="1:4" x14ac:dyDescent="0.2">
      <c r="A26" s="9">
        <v>45869</v>
      </c>
      <c r="B26" s="8" t="s">
        <v>22</v>
      </c>
      <c r="C26" s="10">
        <v>-52.76</v>
      </c>
      <c r="D26" s="8" t="s">
        <v>14</v>
      </c>
    </row>
    <row r="27" spans="1:4" x14ac:dyDescent="0.2">
      <c r="A27" s="9">
        <v>45871</v>
      </c>
      <c r="B27" s="8" t="s">
        <v>31</v>
      </c>
      <c r="C27" s="10">
        <v>-407.98</v>
      </c>
      <c r="D27" s="8" t="s">
        <v>9</v>
      </c>
    </row>
    <row r="28" spans="1:4" x14ac:dyDescent="0.2">
      <c r="A28" s="9">
        <v>45871</v>
      </c>
      <c r="B28" s="8" t="s">
        <v>11</v>
      </c>
      <c r="C28" s="10">
        <v>-19.260000000000002</v>
      </c>
      <c r="D28" s="8" t="s">
        <v>12</v>
      </c>
    </row>
    <row r="29" spans="1:4" x14ac:dyDescent="0.2">
      <c r="A29" s="9">
        <v>45875</v>
      </c>
      <c r="B29" s="8" t="s">
        <v>25</v>
      </c>
      <c r="C29" s="10">
        <v>-24.95</v>
      </c>
      <c r="D29" s="8" t="s">
        <v>14</v>
      </c>
    </row>
    <row r="30" spans="1:4" x14ac:dyDescent="0.2">
      <c r="A30" s="9">
        <v>45877</v>
      </c>
      <c r="B30" s="8" t="s">
        <v>32</v>
      </c>
      <c r="C30" s="10">
        <v>-17</v>
      </c>
      <c r="D30" s="8" t="s">
        <v>27</v>
      </c>
    </row>
    <row r="31" spans="1:4" x14ac:dyDescent="0.2">
      <c r="A31" s="9">
        <v>45881</v>
      </c>
      <c r="B31" s="8" t="s">
        <v>19</v>
      </c>
      <c r="C31" s="10">
        <v>-150.07</v>
      </c>
      <c r="D31" s="8" t="s">
        <v>17</v>
      </c>
    </row>
    <row r="32" spans="1:4" x14ac:dyDescent="0.2">
      <c r="A32" s="9">
        <v>45894</v>
      </c>
      <c r="B32" s="8" t="s">
        <v>20</v>
      </c>
      <c r="C32" s="10">
        <v>-41.29</v>
      </c>
      <c r="D32" s="8" t="s">
        <v>21</v>
      </c>
    </row>
    <row r="33" spans="1:4" x14ac:dyDescent="0.2">
      <c r="A33" s="9">
        <v>45894</v>
      </c>
      <c r="B33" s="8" t="s">
        <v>33</v>
      </c>
      <c r="C33" s="10">
        <v>-40</v>
      </c>
      <c r="D33" s="8" t="s">
        <v>34</v>
      </c>
    </row>
    <row r="34" spans="1:4" x14ac:dyDescent="0.2">
      <c r="A34" s="9">
        <v>45897</v>
      </c>
      <c r="B34" s="8" t="s">
        <v>35</v>
      </c>
      <c r="C34" s="10">
        <v>-1000</v>
      </c>
      <c r="D34" s="8" t="s">
        <v>9</v>
      </c>
    </row>
    <row r="35" spans="1:4" x14ac:dyDescent="0.2">
      <c r="A35" s="9">
        <v>45900</v>
      </c>
      <c r="B35" s="8" t="s">
        <v>22</v>
      </c>
      <c r="C35" s="10">
        <v>-50.74</v>
      </c>
      <c r="D35" s="8" t="s">
        <v>14</v>
      </c>
    </row>
    <row r="36" spans="1:4" x14ac:dyDescent="0.2">
      <c r="A36" s="9">
        <v>45902</v>
      </c>
      <c r="B36" s="8" t="s">
        <v>36</v>
      </c>
      <c r="C36" s="10">
        <v>-180.58</v>
      </c>
      <c r="D36" s="8" t="s">
        <v>9</v>
      </c>
    </row>
    <row r="37" spans="1:4" x14ac:dyDescent="0.2">
      <c r="A37" s="9">
        <v>45902</v>
      </c>
      <c r="B37" s="8" t="s">
        <v>11</v>
      </c>
      <c r="C37" s="10">
        <v>-19.260000000000002</v>
      </c>
      <c r="D37" s="8" t="s">
        <v>12</v>
      </c>
    </row>
    <row r="38" spans="1:4" x14ac:dyDescent="0.2">
      <c r="A38" s="9">
        <v>45904</v>
      </c>
      <c r="B38" s="8" t="s">
        <v>25</v>
      </c>
      <c r="C38" s="10">
        <v>-59.98</v>
      </c>
      <c r="D38" s="8" t="s">
        <v>14</v>
      </c>
    </row>
    <row r="39" spans="1:4" x14ac:dyDescent="0.2">
      <c r="A39" s="9">
        <v>45909</v>
      </c>
      <c r="B39" s="8" t="s">
        <v>37</v>
      </c>
      <c r="C39" s="10">
        <v>-17</v>
      </c>
      <c r="D39" s="8" t="s">
        <v>27</v>
      </c>
    </row>
    <row r="40" spans="1:4" x14ac:dyDescent="0.2">
      <c r="A40" s="9">
        <v>45910</v>
      </c>
      <c r="B40" s="8" t="s">
        <v>19</v>
      </c>
      <c r="C40" s="10">
        <v>-150.03</v>
      </c>
      <c r="D40" s="8" t="s">
        <v>17</v>
      </c>
    </row>
    <row r="41" spans="1:4" x14ac:dyDescent="0.2">
      <c r="A41" s="9">
        <v>45910</v>
      </c>
      <c r="B41" s="8" t="s">
        <v>28</v>
      </c>
      <c r="C41" s="10">
        <v>-400.23</v>
      </c>
      <c r="D41" s="8" t="s">
        <v>29</v>
      </c>
    </row>
    <row r="42" spans="1:4" x14ac:dyDescent="0.2">
      <c r="A42" s="9">
        <v>45925</v>
      </c>
      <c r="B42" s="8" t="s">
        <v>20</v>
      </c>
      <c r="C42" s="10">
        <v>-41.73</v>
      </c>
      <c r="D42" s="8" t="s">
        <v>21</v>
      </c>
    </row>
    <row r="43" spans="1:4" x14ac:dyDescent="0.2">
      <c r="A43" s="9">
        <v>45925</v>
      </c>
      <c r="B43" s="8" t="s">
        <v>33</v>
      </c>
      <c r="C43" s="10">
        <v>-40</v>
      </c>
      <c r="D43" s="8" t="s">
        <v>34</v>
      </c>
    </row>
    <row r="44" spans="1:4" x14ac:dyDescent="0.2">
      <c r="A44" s="9">
        <v>45930</v>
      </c>
      <c r="B44" s="8" t="s">
        <v>22</v>
      </c>
      <c r="C44" s="10">
        <v>-142.74</v>
      </c>
      <c r="D44" s="8" t="s">
        <v>14</v>
      </c>
    </row>
    <row r="45" spans="1:4" x14ac:dyDescent="0.2">
      <c r="A45" s="9">
        <v>45932</v>
      </c>
      <c r="B45" s="8" t="s">
        <v>38</v>
      </c>
      <c r="C45" s="10">
        <v>-867.92</v>
      </c>
      <c r="D45" s="8" t="s">
        <v>9</v>
      </c>
    </row>
    <row r="46" spans="1:4" x14ac:dyDescent="0.2">
      <c r="A46" s="9">
        <v>45934</v>
      </c>
      <c r="B46" s="8" t="s">
        <v>25</v>
      </c>
      <c r="C46" s="10">
        <v>-24.95</v>
      </c>
      <c r="D46" s="8" t="s">
        <v>14</v>
      </c>
    </row>
    <row r="47" spans="1:4" x14ac:dyDescent="0.2">
      <c r="A47" s="8"/>
      <c r="B47" s="8"/>
      <c r="C47" s="11"/>
      <c r="D47" s="8"/>
    </row>
    <row r="48" spans="1:4" x14ac:dyDescent="0.2">
      <c r="A48" s="8"/>
      <c r="B48" s="8" t="s">
        <v>39</v>
      </c>
      <c r="C48" s="11"/>
      <c r="D48" s="8"/>
    </row>
    <row r="49" spans="1:4" x14ac:dyDescent="0.2">
      <c r="A49" s="8"/>
      <c r="B49" s="8" t="s">
        <v>40</v>
      </c>
      <c r="C49" s="10">
        <v>-1159.98</v>
      </c>
      <c r="D49" s="8"/>
    </row>
    <row r="50" spans="1:4" x14ac:dyDescent="0.2">
      <c r="A50" s="8"/>
      <c r="B50" s="8" t="s">
        <v>27</v>
      </c>
      <c r="C50" s="10">
        <v>-3916.01</v>
      </c>
      <c r="D50" s="8"/>
    </row>
    <row r="51" spans="1:4" x14ac:dyDescent="0.2">
      <c r="A51" s="8"/>
      <c r="B51" s="8" t="s">
        <v>41</v>
      </c>
      <c r="C51" s="12">
        <v>-764.01</v>
      </c>
      <c r="D51" s="8"/>
    </row>
    <row r="52" spans="1:4" ht="19" customHeight="1" x14ac:dyDescent="0.2">
      <c r="A52" s="28"/>
      <c r="B52" s="30" t="s">
        <v>42</v>
      </c>
      <c r="C52" s="31">
        <f>C49+C50+C51</f>
        <v>-5840</v>
      </c>
      <c r="D52" s="29"/>
    </row>
    <row r="53" spans="1:4" x14ac:dyDescent="0.2">
      <c r="A53" s="8"/>
      <c r="B53" s="13"/>
      <c r="C53" s="14"/>
      <c r="D53" s="8"/>
    </row>
    <row r="54" spans="1:4" x14ac:dyDescent="0.2">
      <c r="A54" s="15" t="s">
        <v>43</v>
      </c>
      <c r="B54" s="13"/>
      <c r="C54" s="14"/>
      <c r="D54" s="8"/>
    </row>
    <row r="55" spans="1:4" x14ac:dyDescent="0.2">
      <c r="A55" s="9">
        <v>45811</v>
      </c>
      <c r="B55" s="21" t="s">
        <v>44</v>
      </c>
      <c r="C55" s="16">
        <v>-2197.4299999999998</v>
      </c>
      <c r="D55" s="8" t="s">
        <v>45</v>
      </c>
    </row>
    <row r="56" spans="1:4" x14ac:dyDescent="0.2">
      <c r="A56" s="9">
        <v>45813</v>
      </c>
      <c r="B56" s="8" t="s">
        <v>46</v>
      </c>
      <c r="C56" s="12">
        <v>-150.06</v>
      </c>
      <c r="D56" s="8" t="s">
        <v>45</v>
      </c>
    </row>
    <row r="57" spans="1:4" x14ac:dyDescent="0.2">
      <c r="A57" s="9">
        <v>45817</v>
      </c>
      <c r="B57" s="17" t="s">
        <v>47</v>
      </c>
      <c r="C57" s="18">
        <v>-20</v>
      </c>
      <c r="D57" s="8" t="s">
        <v>48</v>
      </c>
    </row>
    <row r="58" spans="1:4" x14ac:dyDescent="0.2">
      <c r="A58" s="9">
        <v>45818</v>
      </c>
      <c r="B58" s="8" t="s">
        <v>49</v>
      </c>
      <c r="C58" s="12">
        <v>-2754.13</v>
      </c>
      <c r="D58" s="8" t="s">
        <v>45</v>
      </c>
    </row>
    <row r="59" spans="1:4" x14ac:dyDescent="0.2">
      <c r="A59" s="9">
        <v>45825</v>
      </c>
      <c r="B59" s="8" t="s">
        <v>50</v>
      </c>
      <c r="C59" s="12">
        <v>-93.75</v>
      </c>
      <c r="D59" s="8" t="s">
        <v>51</v>
      </c>
    </row>
    <row r="60" spans="1:4" x14ac:dyDescent="0.2">
      <c r="A60" s="9">
        <v>45825</v>
      </c>
      <c r="B60" s="8" t="s">
        <v>50</v>
      </c>
      <c r="C60" s="10">
        <v>-2</v>
      </c>
      <c r="D60" s="8" t="s">
        <v>51</v>
      </c>
    </row>
    <row r="61" spans="1:4" x14ac:dyDescent="0.2">
      <c r="A61" s="9">
        <v>45828</v>
      </c>
      <c r="B61" s="8" t="s">
        <v>52</v>
      </c>
      <c r="C61" s="10">
        <v>-87.5</v>
      </c>
      <c r="D61" s="8" t="s">
        <v>51</v>
      </c>
    </row>
    <row r="62" spans="1:4" x14ac:dyDescent="0.2">
      <c r="A62" s="9">
        <v>45828</v>
      </c>
      <c r="B62" s="8" t="s">
        <v>50</v>
      </c>
      <c r="C62" s="10">
        <v>-2</v>
      </c>
      <c r="D62" s="8" t="s">
        <v>51</v>
      </c>
    </row>
    <row r="63" spans="1:4" x14ac:dyDescent="0.2">
      <c r="A63" s="9">
        <v>45829</v>
      </c>
      <c r="B63" s="8" t="s">
        <v>53</v>
      </c>
      <c r="C63" s="10">
        <v>-21.4</v>
      </c>
      <c r="D63" s="8" t="s">
        <v>54</v>
      </c>
    </row>
    <row r="64" spans="1:4" x14ac:dyDescent="0.2">
      <c r="A64" s="9">
        <v>45839</v>
      </c>
      <c r="B64" s="8" t="s">
        <v>55</v>
      </c>
      <c r="C64" s="10">
        <v>-2250.8000000000002</v>
      </c>
      <c r="D64" s="8" t="s">
        <v>45</v>
      </c>
    </row>
    <row r="65" spans="1:4" x14ac:dyDescent="0.2">
      <c r="A65" s="9">
        <v>45845</v>
      </c>
      <c r="B65" s="8" t="s">
        <v>56</v>
      </c>
      <c r="C65" s="10">
        <v>-21.2</v>
      </c>
      <c r="D65" s="8" t="s">
        <v>48</v>
      </c>
    </row>
    <row r="66" spans="1:4" x14ac:dyDescent="0.2">
      <c r="A66" s="9">
        <v>45847</v>
      </c>
      <c r="B66" s="8" t="s">
        <v>56</v>
      </c>
      <c r="C66" s="10">
        <v>-20</v>
      </c>
      <c r="D66" s="8" t="s">
        <v>48</v>
      </c>
    </row>
    <row r="67" spans="1:4" x14ac:dyDescent="0.2">
      <c r="A67" s="9">
        <v>45853</v>
      </c>
      <c r="B67" s="8" t="s">
        <v>57</v>
      </c>
      <c r="C67" s="10">
        <v>-2444.02</v>
      </c>
      <c r="D67" s="8" t="s">
        <v>45</v>
      </c>
    </row>
    <row r="68" spans="1:4" x14ac:dyDescent="0.2">
      <c r="A68" s="9">
        <v>45855</v>
      </c>
      <c r="B68" s="8" t="s">
        <v>52</v>
      </c>
      <c r="C68" s="10">
        <v>-93.75</v>
      </c>
      <c r="D68" s="8" t="s">
        <v>51</v>
      </c>
    </row>
    <row r="69" spans="1:4" x14ac:dyDescent="0.2">
      <c r="A69" s="9">
        <v>45855</v>
      </c>
      <c r="B69" s="8" t="s">
        <v>52</v>
      </c>
      <c r="C69" s="10">
        <v>-2</v>
      </c>
      <c r="D69" s="8" t="s">
        <v>51</v>
      </c>
    </row>
    <row r="70" spans="1:4" x14ac:dyDescent="0.2">
      <c r="A70" s="9">
        <v>45856</v>
      </c>
      <c r="B70" s="8" t="s">
        <v>58</v>
      </c>
      <c r="C70" s="10">
        <v>-658.67</v>
      </c>
      <c r="D70" s="8" t="s">
        <v>45</v>
      </c>
    </row>
    <row r="71" spans="1:4" x14ac:dyDescent="0.2">
      <c r="A71" s="9">
        <v>45858</v>
      </c>
      <c r="B71" s="8" t="s">
        <v>52</v>
      </c>
      <c r="C71" s="10">
        <v>-87.5</v>
      </c>
      <c r="D71" s="8" t="s">
        <v>51</v>
      </c>
    </row>
    <row r="72" spans="1:4" x14ac:dyDescent="0.2">
      <c r="A72" s="9">
        <v>45858</v>
      </c>
      <c r="B72" s="8" t="s">
        <v>52</v>
      </c>
      <c r="C72" s="10">
        <v>-2</v>
      </c>
      <c r="D72" s="8" t="s">
        <v>51</v>
      </c>
    </row>
    <row r="73" spans="1:4" x14ac:dyDescent="0.2">
      <c r="A73" s="9">
        <v>45859</v>
      </c>
      <c r="B73" s="8" t="s">
        <v>53</v>
      </c>
      <c r="C73" s="10">
        <v>-21.4</v>
      </c>
      <c r="D73" s="8" t="s">
        <v>54</v>
      </c>
    </row>
    <row r="74" spans="1:4" x14ac:dyDescent="0.2">
      <c r="A74" s="9">
        <v>45874</v>
      </c>
      <c r="B74" s="8" t="s">
        <v>59</v>
      </c>
      <c r="C74" s="10">
        <v>-2133.04</v>
      </c>
      <c r="D74" s="8" t="s">
        <v>45</v>
      </c>
    </row>
    <row r="75" spans="1:4" x14ac:dyDescent="0.2">
      <c r="A75" s="9">
        <v>45876</v>
      </c>
      <c r="B75" s="8" t="s">
        <v>56</v>
      </c>
      <c r="C75" s="10">
        <v>-21.2</v>
      </c>
      <c r="D75" s="8" t="s">
        <v>48</v>
      </c>
    </row>
    <row r="76" spans="1:4" x14ac:dyDescent="0.2">
      <c r="A76" s="9">
        <v>45878</v>
      </c>
      <c r="B76" s="8" t="s">
        <v>56</v>
      </c>
      <c r="C76" s="10">
        <v>-20</v>
      </c>
      <c r="D76" s="8" t="s">
        <v>48</v>
      </c>
    </row>
    <row r="77" spans="1:4" x14ac:dyDescent="0.2">
      <c r="A77" s="9">
        <v>45879</v>
      </c>
      <c r="B77" s="8" t="s">
        <v>60</v>
      </c>
      <c r="C77" s="10">
        <v>-10.7</v>
      </c>
      <c r="D77" s="8" t="s">
        <v>54</v>
      </c>
    </row>
    <row r="78" spans="1:4" x14ac:dyDescent="0.2">
      <c r="A78" s="9">
        <v>45883</v>
      </c>
      <c r="B78" s="8" t="s">
        <v>61</v>
      </c>
      <c r="C78" s="10">
        <v>-249.32</v>
      </c>
      <c r="D78" s="8" t="s">
        <v>62</v>
      </c>
    </row>
    <row r="79" spans="1:4" x14ac:dyDescent="0.2">
      <c r="A79" s="9">
        <v>45888</v>
      </c>
      <c r="B79" s="8" t="s">
        <v>63</v>
      </c>
      <c r="C79" s="10">
        <v>-2309.23</v>
      </c>
      <c r="D79" s="8" t="s">
        <v>45</v>
      </c>
    </row>
    <row r="80" spans="1:4" x14ac:dyDescent="0.2">
      <c r="A80" s="9">
        <v>45890</v>
      </c>
      <c r="B80" s="8" t="s">
        <v>53</v>
      </c>
      <c r="C80" s="10">
        <v>-21.4</v>
      </c>
      <c r="D80" s="8" t="s">
        <v>54</v>
      </c>
    </row>
    <row r="81" spans="1:4" x14ac:dyDescent="0.2">
      <c r="A81" s="9">
        <v>45902</v>
      </c>
      <c r="B81" s="8" t="s">
        <v>64</v>
      </c>
      <c r="C81" s="10">
        <v>-1942.79</v>
      </c>
      <c r="D81" s="8" t="s">
        <v>45</v>
      </c>
    </row>
    <row r="82" spans="1:4" x14ac:dyDescent="0.2">
      <c r="A82" s="9">
        <v>45905</v>
      </c>
      <c r="B82" s="8" t="s">
        <v>65</v>
      </c>
      <c r="C82" s="10">
        <v>-340.12</v>
      </c>
      <c r="D82" s="8" t="s">
        <v>45</v>
      </c>
    </row>
    <row r="83" spans="1:4" x14ac:dyDescent="0.2">
      <c r="A83" s="9">
        <v>45907</v>
      </c>
      <c r="B83" s="8" t="s">
        <v>56</v>
      </c>
      <c r="C83" s="10">
        <v>-21.2</v>
      </c>
      <c r="D83" s="8" t="s">
        <v>48</v>
      </c>
    </row>
    <row r="84" spans="1:4" x14ac:dyDescent="0.2">
      <c r="A84" s="9">
        <v>45909</v>
      </c>
      <c r="B84" s="8" t="s">
        <v>56</v>
      </c>
      <c r="C84" s="10">
        <v>-20</v>
      </c>
      <c r="D84" s="8" t="s">
        <v>48</v>
      </c>
    </row>
    <row r="85" spans="1:4" x14ac:dyDescent="0.2">
      <c r="A85" s="9">
        <v>45910</v>
      </c>
      <c r="B85" s="8" t="s">
        <v>66</v>
      </c>
      <c r="C85" s="10">
        <v>-10.7</v>
      </c>
      <c r="D85" s="8" t="s">
        <v>54</v>
      </c>
    </row>
    <row r="86" spans="1:4" x14ac:dyDescent="0.2">
      <c r="A86" s="9">
        <v>45915</v>
      </c>
      <c r="B86" s="8" t="s">
        <v>67</v>
      </c>
      <c r="C86" s="10">
        <v>-107.6</v>
      </c>
      <c r="D86" s="8" t="s">
        <v>68</v>
      </c>
    </row>
    <row r="87" spans="1:4" x14ac:dyDescent="0.2">
      <c r="A87" s="9">
        <v>45920</v>
      </c>
      <c r="B87" s="8" t="s">
        <v>52</v>
      </c>
      <c r="C87" s="10">
        <v>-68.5</v>
      </c>
      <c r="D87" s="8" t="s">
        <v>51</v>
      </c>
    </row>
    <row r="88" spans="1:4" x14ac:dyDescent="0.2">
      <c r="A88" s="9">
        <v>45920</v>
      </c>
      <c r="B88" s="8" t="s">
        <v>52</v>
      </c>
      <c r="C88" s="10">
        <v>-2</v>
      </c>
      <c r="D88" s="8" t="s">
        <v>51</v>
      </c>
    </row>
    <row r="89" spans="1:4" x14ac:dyDescent="0.2">
      <c r="A89" s="9">
        <v>45921</v>
      </c>
      <c r="B89" s="8" t="s">
        <v>53</v>
      </c>
      <c r="C89" s="10">
        <v>-21.4</v>
      </c>
      <c r="D89" s="8" t="s">
        <v>54</v>
      </c>
    </row>
    <row r="90" spans="1:4" x14ac:dyDescent="0.2">
      <c r="A90" s="9">
        <v>45921</v>
      </c>
      <c r="B90" s="8" t="s">
        <v>69</v>
      </c>
      <c r="C90" s="10">
        <v>-25</v>
      </c>
      <c r="D90" s="8" t="s">
        <v>70</v>
      </c>
    </row>
    <row r="91" spans="1:4" x14ac:dyDescent="0.2">
      <c r="A91" s="9">
        <v>45923</v>
      </c>
      <c r="B91" s="8" t="s">
        <v>71</v>
      </c>
      <c r="C91" s="10">
        <v>-2621.11</v>
      </c>
      <c r="D91" s="8" t="s">
        <v>45</v>
      </c>
    </row>
    <row r="92" spans="1:4" x14ac:dyDescent="0.2">
      <c r="A92" s="9">
        <v>45930</v>
      </c>
      <c r="B92" s="8" t="s">
        <v>72</v>
      </c>
      <c r="C92" s="10">
        <v>-1948.93</v>
      </c>
      <c r="D92" s="8" t="s">
        <v>45</v>
      </c>
    </row>
    <row r="93" spans="1:4" x14ac:dyDescent="0.2">
      <c r="A93" s="9">
        <v>45930</v>
      </c>
      <c r="B93" s="8" t="s">
        <v>73</v>
      </c>
      <c r="C93" s="10">
        <v>-315.89999999999998</v>
      </c>
      <c r="D93" s="8" t="s">
        <v>45</v>
      </c>
    </row>
    <row r="94" spans="1:4" ht="19" customHeight="1" x14ac:dyDescent="0.2">
      <c r="A94" s="22"/>
      <c r="B94" s="22" t="s">
        <v>74</v>
      </c>
      <c r="C94" s="23">
        <f>SUM(C55:C93)</f>
        <v>-23139.75</v>
      </c>
      <c r="D94" s="24"/>
    </row>
    <row r="95" spans="1:4" x14ac:dyDescent="0.2">
      <c r="A95" s="8"/>
      <c r="B95" s="8"/>
      <c r="C95" s="11"/>
      <c r="D95" s="8"/>
    </row>
    <row r="96" spans="1:4" x14ac:dyDescent="0.2">
      <c r="A96" s="15" t="s">
        <v>75</v>
      </c>
      <c r="B96" s="8"/>
      <c r="C96" s="11"/>
      <c r="D96" s="8"/>
    </row>
    <row r="97" spans="1:4" x14ac:dyDescent="0.2">
      <c r="A97" s="9">
        <v>45846</v>
      </c>
      <c r="B97" s="8" t="s">
        <v>76</v>
      </c>
      <c r="C97" s="10">
        <v>-32.36</v>
      </c>
      <c r="D97" s="8" t="s">
        <v>77</v>
      </c>
    </row>
    <row r="98" spans="1:4" x14ac:dyDescent="0.2">
      <c r="A98" s="8"/>
      <c r="B98" s="20" t="s">
        <v>78</v>
      </c>
      <c r="C98" s="10">
        <f>SUM(C97:C97)</f>
        <v>-32.36</v>
      </c>
      <c r="D98" s="8"/>
    </row>
    <row r="99" spans="1:4" x14ac:dyDescent="0.2">
      <c r="A99" s="8"/>
      <c r="B99" s="19"/>
      <c r="C99" s="19"/>
      <c r="D99" s="8"/>
    </row>
    <row r="100" spans="1:4" ht="19" customHeight="1" x14ac:dyDescent="0.2">
      <c r="A100" s="25"/>
      <c r="B100" s="25" t="s">
        <v>79</v>
      </c>
      <c r="C100" s="26">
        <f>C52+C94+C98</f>
        <v>-29012.11</v>
      </c>
      <c r="D100" s="27"/>
    </row>
    <row r="101" spans="1:4" x14ac:dyDescent="0.2">
      <c r="A101" s="1"/>
      <c r="B101" s="2"/>
      <c r="C101" s="2"/>
      <c r="D101" s="2"/>
    </row>
    <row r="102" spans="1:4" x14ac:dyDescent="0.2">
      <c r="A102" s="2"/>
      <c r="B102" s="2"/>
      <c r="C102" s="2"/>
      <c r="D102" s="2"/>
    </row>
    <row r="103" spans="1:4" ht="45" customHeight="1" x14ac:dyDescent="0.2">
      <c r="A103" s="33" t="s">
        <v>80</v>
      </c>
      <c r="B103" s="34"/>
      <c r="C103" s="32"/>
      <c r="D103" s="32"/>
    </row>
    <row r="104" spans="1:4" ht="16" x14ac:dyDescent="0.2">
      <c r="A104" s="36" t="s">
        <v>81</v>
      </c>
      <c r="B104" s="35"/>
      <c r="C104" s="2"/>
      <c r="D104" s="2"/>
    </row>
    <row r="105" spans="1:4" ht="16" x14ac:dyDescent="0.2">
      <c r="A105" s="37"/>
      <c r="B105" s="35"/>
      <c r="C105" s="2"/>
      <c r="D105" s="2"/>
    </row>
    <row r="106" spans="1:4" ht="16" x14ac:dyDescent="0.2">
      <c r="A106" s="35"/>
      <c r="B106" s="35"/>
      <c r="C106" s="2"/>
      <c r="D106" s="2"/>
    </row>
    <row r="107" spans="1:4" ht="16" x14ac:dyDescent="0.2">
      <c r="A107" s="38" t="s">
        <v>82</v>
      </c>
      <c r="B107" s="35"/>
      <c r="C107" s="2"/>
      <c r="D107" s="2"/>
    </row>
    <row r="108" spans="1:4" ht="16" x14ac:dyDescent="0.2">
      <c r="A108" s="38" t="s">
        <v>83</v>
      </c>
      <c r="B108" s="35"/>
      <c r="C108" s="2"/>
      <c r="D108" s="2"/>
    </row>
    <row r="109" spans="1:4" ht="16" x14ac:dyDescent="0.2">
      <c r="A109" s="38" t="s">
        <v>84</v>
      </c>
      <c r="B109" s="35"/>
      <c r="C109" s="2"/>
      <c r="D109" s="2"/>
    </row>
    <row r="110" spans="1:4" ht="16" x14ac:dyDescent="0.2">
      <c r="A110" s="38" t="s">
        <v>85</v>
      </c>
      <c r="B110" s="35"/>
      <c r="C110" s="2"/>
      <c r="D110" s="2"/>
    </row>
    <row r="111" spans="1:4" ht="16" x14ac:dyDescent="0.2">
      <c r="A111" s="35"/>
      <c r="B111" s="35"/>
      <c r="C111" s="2"/>
      <c r="D111" s="2"/>
    </row>
    <row r="112" spans="1:4" ht="16" x14ac:dyDescent="0.2">
      <c r="A112" s="35"/>
      <c r="B112" s="35"/>
      <c r="C112" s="2"/>
      <c r="D112" s="2"/>
    </row>
    <row r="113" spans="1:4" ht="16" x14ac:dyDescent="0.2">
      <c r="A113" s="39" t="s">
        <v>86</v>
      </c>
      <c r="B113" s="40"/>
      <c r="C113" s="2"/>
      <c r="D113" s="2"/>
    </row>
    <row r="114" spans="1:4" x14ac:dyDescent="0.2">
      <c r="A114" s="2"/>
      <c r="B114" s="2"/>
      <c r="C114" s="2"/>
      <c r="D114" s="2"/>
    </row>
    <row r="115" spans="1:4" x14ac:dyDescent="0.2">
      <c r="A115" s="2"/>
      <c r="B115" s="2"/>
      <c r="C115" s="2"/>
      <c r="D115" s="2"/>
    </row>
    <row r="116" spans="1:4" x14ac:dyDescent="0.2">
      <c r="A116" s="2"/>
      <c r="B116" s="2"/>
      <c r="C116" s="2"/>
      <c r="D116" s="2"/>
    </row>
    <row r="117" spans="1:4" x14ac:dyDescent="0.2">
      <c r="A117" s="2"/>
      <c r="B117" s="2"/>
      <c r="C117" s="2"/>
      <c r="D117" s="2"/>
    </row>
  </sheetData>
  <mergeCells count="1">
    <mergeCell ref="A103:D103"/>
  </mergeCells>
  <pageMargins left="0.75" right="0.75" top="1" bottom="1" header="0.5" footer="0.5"/>
  <pageSetup paperSize="9" scale="75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DiBella</cp:lastModifiedBy>
  <cp:lastPrinted>2025-10-13T00:05:35Z</cp:lastPrinted>
  <dcterms:created xsi:type="dcterms:W3CDTF">2025-10-09T07:38:32Z</dcterms:created>
  <dcterms:modified xsi:type="dcterms:W3CDTF">2025-10-13T00:06:41Z</dcterms:modified>
</cp:coreProperties>
</file>