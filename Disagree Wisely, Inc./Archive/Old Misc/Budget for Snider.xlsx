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Projections" sheetId="1" r:id="rId4"/>
    <sheet state="visible" name="Salary Breakdown" sheetId="2" r:id="rId5"/>
    <sheet state="hidden" name="Program Expense Itemize List" sheetId="3" r:id="rId6"/>
  </sheets>
  <definedNames/>
  <calcPr/>
  <extLst>
    <ext uri="GoogleSheetsCustomDataVersion2">
      <go:sheetsCustomData xmlns:go="http://customooxmlschemas.google.com/" r:id="rId7" roundtripDataChecksum="HnvXpzG5dZFc3jHJCSZKLnlwrWuPfTsT4TFz9t0IpAQ="/>
    </ext>
  </extLst>
</workbook>
</file>

<file path=xl/sharedStrings.xml><?xml version="1.0" encoding="utf-8"?>
<sst xmlns="http://schemas.openxmlformats.org/spreadsheetml/2006/main" count="53" uniqueCount="48">
  <si>
    <t>STATEMENT OF REVENUES AND EXPENSES (current fiscal year)</t>
  </si>
  <si>
    <t>Present to</t>
  </si>
  <si>
    <t>To present</t>
  </si>
  <si>
    <t>12/31/2025 (Anticipated)</t>
  </si>
  <si>
    <t>Revenue</t>
  </si>
  <si>
    <t>Revenue for 1023 online</t>
  </si>
  <si>
    <t>Direct Contributions Revenue</t>
  </si>
  <si>
    <t xml:space="preserve">  Individual/Small business contributions</t>
  </si>
  <si>
    <t xml:space="preserve">  Corporate Contributions</t>
  </si>
  <si>
    <t>$480,000 
(most will not be available until EOY2025)</t>
  </si>
  <si>
    <t>Investment Revenue</t>
  </si>
  <si>
    <t>Total Revenue</t>
  </si>
  <si>
    <t>Expenses</t>
  </si>
  <si>
    <t>Salaries/benefits</t>
  </si>
  <si>
    <t xml:space="preserve">  Simon Cullen (Co-Founder, Scientist)</t>
  </si>
  <si>
    <t>$20,000
(from 6/1/2025--8/31/2025)</t>
  </si>
  <si>
    <t xml:space="preserve">  Nicholas DiBella (Co-Founder, Scientist)</t>
  </si>
  <si>
    <t>$20,000
(from 10/1/2025--12/31/2025)</t>
  </si>
  <si>
    <t>Subtotal</t>
  </si>
  <si>
    <t>Contract Services Expenses</t>
  </si>
  <si>
    <t xml:space="preserve">   Freelance developers</t>
  </si>
  <si>
    <t xml:space="preserve">   Foundation Group (to set up nonprofit)</t>
  </si>
  <si>
    <t xml:space="preserve">   Part-time assistant</t>
  </si>
  <si>
    <t xml:space="preserve">   External IRB</t>
  </si>
  <si>
    <t>Office Expenses</t>
  </si>
  <si>
    <t xml:space="preserve">  Supplies</t>
  </si>
  <si>
    <t xml:space="preserve">  Research-related subscriptions and API credits</t>
  </si>
  <si>
    <t xml:space="preserve">  Licenses, Fees &amp; Dues (includes IRS &amp; State fees)</t>
  </si>
  <si>
    <t>Travel  Expenses</t>
  </si>
  <si>
    <t xml:space="preserve">  Transportation</t>
  </si>
  <si>
    <t xml:space="preserve">  Lodging</t>
  </si>
  <si>
    <t>Other Expenses</t>
  </si>
  <si>
    <t xml:space="preserve">  Website Enhancements</t>
  </si>
  <si>
    <t xml:space="preserve">  Website Hosting/Domain expenses</t>
  </si>
  <si>
    <t xml:space="preserve">  Software &amp; Hardware</t>
  </si>
  <si>
    <t xml:space="preserve">  Depreciation, Depletion &amp; Amortization</t>
  </si>
  <si>
    <t>Program Expenses</t>
  </si>
  <si>
    <t xml:space="preserve">   Technical operating costs of Sway (servers, AI costs, app support)</t>
  </si>
  <si>
    <t xml:space="preserve">   AI model fine-tuning</t>
  </si>
  <si>
    <t>Total Expenses</t>
  </si>
  <si>
    <t>Salary Breakdown - totals should transfer to Chart of Accounts lines 51100 &amp; 51200 respectively</t>
  </si>
  <si>
    <t>Current Tax Year 1/1/2025 - Present</t>
  </si>
  <si>
    <t>Proposed Present - 12/31/2025</t>
  </si>
  <si>
    <t>Line 17</t>
  </si>
  <si>
    <t xml:space="preserve">  Officers, Directors/Trustees, Key Employees Salaries (51100)</t>
  </si>
  <si>
    <t>Nicholas DiBella. Treasurer &amp; Secretary. Chief Scientist</t>
  </si>
  <si>
    <t>Expense Item</t>
  </si>
  <si>
    <t>Estimated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</si>
</sst>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&quot;$&quot;#,##0_);\(&quot;$&quot;#,##0\)"/>
    <numFmt numFmtId="167" formatCode="_(&quot;$&quot;* #,##0_);_(&quot;$&quot;* \(#,##0\);_(&quot;$&quot;* &quot;-&quot;??_);_(@_)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7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b/>
      <u/>
      <sz val="15.0"/>
      <color theme="1"/>
      <name val="Arial"/>
    </font>
    <font>
      <sz val="10.0"/>
      <color rgb="FF000000"/>
      <name val="Arial"/>
    </font>
    <font/>
    <font>
      <b/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1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2" fillId="0" fontId="5" numFmtId="14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4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6" fillId="0" fontId="1" numFmtId="0" xfId="0" applyBorder="1" applyFont="1"/>
    <xf borderId="7" fillId="0" fontId="1" numFmtId="0" xfId="0" applyBorder="1" applyFont="1"/>
    <xf borderId="8" fillId="0" fontId="5" numFmtId="0" xfId="0" applyBorder="1" applyFont="1"/>
    <xf borderId="0" fillId="0" fontId="5" numFmtId="0" xfId="0" applyFont="1"/>
    <xf borderId="9" fillId="0" fontId="1" numFmtId="164" xfId="0" applyBorder="1" applyFont="1" applyNumberFormat="1"/>
    <xf borderId="0" fillId="0" fontId="1" numFmtId="164" xfId="0" applyFont="1" applyNumberFormat="1"/>
    <xf borderId="8" fillId="0" fontId="1" numFmtId="0" xfId="0" applyBorder="1" applyFont="1"/>
    <xf borderId="9" fillId="0" fontId="1" numFmtId="165" xfId="0" applyBorder="1" applyFont="1" applyNumberFormat="1"/>
    <xf borderId="9" fillId="0" fontId="1" numFmtId="165" xfId="0" applyAlignment="1" applyBorder="1" applyFont="1" applyNumberFormat="1">
      <alignment readingOrder="0"/>
    </xf>
    <xf borderId="10" fillId="0" fontId="3" numFmtId="0" xfId="0" applyAlignment="1" applyBorder="1" applyFont="1">
      <alignment readingOrder="0"/>
    </xf>
    <xf borderId="11" fillId="0" fontId="3" numFmtId="0" xfId="0" applyBorder="1" applyFont="1"/>
    <xf borderId="10" fillId="0" fontId="3" numFmtId="165" xfId="0" applyAlignment="1" applyBorder="1" applyFont="1" applyNumberFormat="1">
      <alignment readingOrder="0"/>
    </xf>
    <xf borderId="0" fillId="0" fontId="1" numFmtId="165" xfId="0" applyFont="1" applyNumberFormat="1"/>
    <xf borderId="8" fillId="0" fontId="5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5" numFmtId="0" xfId="0" applyAlignment="1" applyBorder="1" applyFont="1">
      <alignment horizontal="right" readingOrder="0"/>
    </xf>
    <xf borderId="9" fillId="0" fontId="5" numFmtId="165" xfId="0" applyAlignment="1" applyBorder="1" applyFont="1" applyNumberFormat="1">
      <alignment readingOrder="0"/>
    </xf>
    <xf borderId="12" fillId="0" fontId="1" numFmtId="0" xfId="0" applyAlignment="1" applyBorder="1" applyFont="1">
      <alignment readingOrder="0"/>
    </xf>
    <xf borderId="9" fillId="0" fontId="5" numFmtId="165" xfId="0" applyBorder="1" applyFont="1" applyNumberFormat="1"/>
    <xf borderId="12" fillId="0" fontId="1" numFmtId="0" xfId="0" applyBorder="1" applyFont="1"/>
    <xf borderId="9" fillId="0" fontId="7" numFmtId="165" xfId="0" applyAlignment="1" applyBorder="1" applyFont="1" applyNumberFormat="1">
      <alignment readingOrder="0"/>
    </xf>
    <xf borderId="8" fillId="0" fontId="1" numFmtId="0" xfId="0" applyAlignment="1" applyBorder="1" applyFont="1">
      <alignment readingOrder="0" shrinkToFit="0" wrapText="1"/>
    </xf>
    <xf borderId="13" fillId="0" fontId="5" numFmtId="0" xfId="0" applyAlignment="1" applyBorder="1" applyFont="1">
      <alignment horizontal="right" readingOrder="0"/>
    </xf>
    <xf borderId="3" fillId="0" fontId="5" numFmtId="165" xfId="0" applyBorder="1" applyFont="1" applyNumberFormat="1"/>
    <xf borderId="10" fillId="0" fontId="3" numFmtId="0" xfId="0" applyBorder="1" applyFont="1"/>
    <xf borderId="14" fillId="0" fontId="3" numFmtId="0" xfId="0" applyBorder="1" applyFont="1"/>
    <xf borderId="10" fillId="0" fontId="3" numFmtId="165" xfId="0" applyBorder="1" applyFont="1" applyNumberFormat="1"/>
    <xf borderId="15" fillId="0" fontId="5" numFmtId="0" xfId="0" applyAlignment="1" applyBorder="1" applyFont="1">
      <alignment horizontal="center" shrinkToFit="0" wrapText="1"/>
    </xf>
    <xf borderId="16" fillId="0" fontId="8" numFmtId="0" xfId="0" applyBorder="1" applyFont="1"/>
    <xf borderId="17" fillId="0" fontId="5" numFmtId="0" xfId="0" applyAlignment="1" applyBorder="1" applyFont="1">
      <alignment horizontal="center" shrinkToFit="0" wrapText="1"/>
    </xf>
    <xf borderId="18" fillId="0" fontId="5" numFmtId="0" xfId="0" applyAlignment="1" applyBorder="1" applyFont="1">
      <alignment horizontal="center" shrinkToFit="0" wrapText="1"/>
    </xf>
    <xf borderId="19" fillId="0" fontId="1" numFmtId="0" xfId="0" applyBorder="1" applyFont="1"/>
    <xf borderId="20" fillId="0" fontId="1" numFmtId="0" xfId="0" applyBorder="1" applyFont="1"/>
    <xf borderId="4" fillId="0" fontId="1" numFmtId="166" xfId="0" applyBorder="1" applyFont="1" applyNumberFormat="1"/>
    <xf borderId="5" fillId="0" fontId="1" numFmtId="166" xfId="0" applyBorder="1" applyFont="1" applyNumberFormat="1"/>
    <xf borderId="4" fillId="0" fontId="1" numFmtId="0" xfId="0" applyBorder="1" applyFont="1"/>
    <xf borderId="0" fillId="0" fontId="1" numFmtId="167" xfId="0" applyFont="1" applyNumberForma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9.25"/>
    <col customWidth="1" hidden="1" min="2" max="5" width="10.25"/>
    <col customWidth="1" min="6" max="6" width="53.88"/>
    <col customWidth="1" min="7" max="7" width="2.0"/>
    <col customWidth="1" min="8" max="8" width="25.0"/>
    <col customWidth="1" min="9" max="9" width="33.63"/>
    <col customWidth="1" min="10" max="21" width="9.25"/>
  </cols>
  <sheetData>
    <row r="1" ht="53.25" customHeight="1">
      <c r="A1" s="1"/>
      <c r="B1" s="1"/>
      <c r="C1" s="1"/>
      <c r="D1" s="1"/>
      <c r="E1" s="1"/>
      <c r="F1" s="2" t="s">
        <v>0</v>
      </c>
      <c r="G1" s="3"/>
      <c r="H1" s="4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8.75" customHeight="1">
      <c r="A2" s="1"/>
      <c r="B2" s="1"/>
      <c r="C2" s="1"/>
      <c r="D2" s="1"/>
      <c r="E2" s="1"/>
      <c r="F2" s="1"/>
      <c r="G2" s="1"/>
      <c r="H2" s="6">
        <v>45658.0</v>
      </c>
      <c r="I2" s="7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2.0" customHeight="1">
      <c r="A3" s="1"/>
      <c r="B3" s="1"/>
      <c r="C3" s="1"/>
      <c r="D3" s="1"/>
      <c r="E3" s="1"/>
      <c r="F3" s="8"/>
      <c r="G3" s="1"/>
      <c r="H3" s="9" t="s">
        <v>2</v>
      </c>
      <c r="I3" s="10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8.5" customHeight="1">
      <c r="A4" s="1"/>
      <c r="B4" s="1"/>
      <c r="C4" s="1"/>
      <c r="D4" s="1"/>
      <c r="E4" s="1"/>
      <c r="F4" s="11" t="s">
        <v>4</v>
      </c>
      <c r="G4" s="1"/>
      <c r="H4" s="12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2.0" customHeight="1">
      <c r="A5" s="1"/>
      <c r="B5" s="1" t="s">
        <v>5</v>
      </c>
      <c r="C5" s="1"/>
      <c r="D5" s="1"/>
      <c r="E5" s="1"/>
      <c r="F5" s="14" t="s">
        <v>6</v>
      </c>
      <c r="G5" s="15"/>
      <c r="H5" s="16"/>
      <c r="I5" s="1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2.0" customHeight="1">
      <c r="A6" s="1">
        <v>1.0</v>
      </c>
      <c r="B6" s="17">
        <f>H6+H7</f>
        <v>0</v>
      </c>
      <c r="C6" s="17" t="str">
        <f>#REF!+#REF!</f>
        <v>#REF!</v>
      </c>
      <c r="D6" s="17" t="str">
        <f>I6+I7</f>
        <v>#VALUE!</v>
      </c>
      <c r="E6" s="17" t="str">
        <f>#REF!+#REF!</f>
        <v>#REF!</v>
      </c>
      <c r="F6" s="18" t="s">
        <v>7</v>
      </c>
      <c r="G6" s="1"/>
      <c r="H6" s="19">
        <v>0.0</v>
      </c>
      <c r="I6" s="20">
        <v>0.0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27.75" customHeight="1">
      <c r="A7" s="1">
        <v>2.0</v>
      </c>
      <c r="B7" s="17" t="str">
        <f>#REF!</f>
        <v>#REF!</v>
      </c>
      <c r="C7" s="17" t="str">
        <f>#REF!</f>
        <v>#REF!</v>
      </c>
      <c r="D7" s="17" t="str">
        <f t="shared" ref="D7:E7" si="1">#REF!</f>
        <v>#REF!</v>
      </c>
      <c r="E7" s="17" t="str">
        <f t="shared" si="1"/>
        <v>#REF!</v>
      </c>
      <c r="F7" s="18" t="s">
        <v>8</v>
      </c>
      <c r="G7" s="1"/>
      <c r="H7" s="19">
        <v>0.0</v>
      </c>
      <c r="I7" s="20" t="s">
        <v>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2.0" customHeight="1">
      <c r="A8" s="1"/>
      <c r="B8" s="1"/>
      <c r="C8" s="1"/>
      <c r="D8" s="1"/>
      <c r="E8" s="1"/>
      <c r="F8" s="14" t="s">
        <v>10</v>
      </c>
      <c r="G8" s="15"/>
      <c r="H8" s="19">
        <v>200.0</v>
      </c>
      <c r="I8" s="19">
        <v>200.0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31.5" customHeight="1">
      <c r="A9" s="1"/>
      <c r="B9" s="1"/>
      <c r="C9" s="1"/>
      <c r="D9" s="1"/>
      <c r="E9" s="1"/>
      <c r="F9" s="21" t="s">
        <v>11</v>
      </c>
      <c r="G9" s="22"/>
      <c r="H9" s="23">
        <v>200.0</v>
      </c>
      <c r="I9" s="23">
        <v>480200.0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42.0" customHeight="1">
      <c r="A10" s="1"/>
      <c r="B10" s="1"/>
      <c r="C10" s="1"/>
      <c r="D10" s="1"/>
      <c r="E10" s="1"/>
      <c r="F10" s="11" t="s">
        <v>12</v>
      </c>
      <c r="G10" s="1"/>
      <c r="H10" s="24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2.0" customHeight="1">
      <c r="A11" s="1"/>
      <c r="B11" s="1"/>
      <c r="C11" s="1"/>
      <c r="D11" s="1"/>
      <c r="E11" s="1"/>
      <c r="F11" s="1"/>
      <c r="G11" s="1"/>
      <c r="H11" s="24"/>
      <c r="I11" s="2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2.0" customHeight="1">
      <c r="A12" s="1">
        <v>23.0</v>
      </c>
      <c r="B12" s="17" t="str">
        <f>#REF!+#REF!+#REF!+#REF!+#REF!+H23+#REF!+#REF!+#REF!+H24+#REF!+#REF!+H25+#REF!+H28+H29+#REF!+#REF!+#REF!+#REF!+#REF!+#REF!+#REF!+#REF!+#REF!+H32+H34+H35+#REF!+#REF!+H38+#REF!+H39+#REF!+#REF!+#REF!+#REF!+#REF!+#REF!+#REF!</f>
        <v>#REF!</v>
      </c>
      <c r="C12" s="17" t="str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12" s="17" t="str">
        <f>#REF!+#REF!+#REF!+#REF!+#REF!+I23+#REF!+#REF!+#REF!+I24+#REF!+#REF!+I25+#REF!+I28+I29+#REF!+#REF!+#REF!+#REF!+#REF!+#REF!+#REF!+#REF!+#REF!+I32+I34+I35+#REF!+#REF!+I38+#REF!+I39+#REF!+#REF!+#REF!+#REF!+#REF!+#REF!+#REF!</f>
        <v>#REF!</v>
      </c>
      <c r="E12" s="17" t="str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F12" s="25" t="s">
        <v>13</v>
      </c>
      <c r="G12" s="1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28.5" customHeight="1">
      <c r="A13" s="1"/>
      <c r="B13" s="1"/>
      <c r="C13" s="1"/>
      <c r="D13" s="1"/>
      <c r="E13" s="1"/>
      <c r="F13" s="26" t="s">
        <v>14</v>
      </c>
      <c r="G13" s="1"/>
      <c r="H13" s="20">
        <v>0.0</v>
      </c>
      <c r="I13" s="20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43.5" customHeight="1">
      <c r="A14" s="1"/>
      <c r="B14" s="1"/>
      <c r="C14" s="1"/>
      <c r="D14" s="1"/>
      <c r="E14" s="1"/>
      <c r="F14" s="26" t="s">
        <v>16</v>
      </c>
      <c r="G14" s="1"/>
      <c r="H14" s="19">
        <v>0.0</v>
      </c>
      <c r="I14" s="20" t="s">
        <v>17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2.0" customHeight="1">
      <c r="A15" s="1"/>
      <c r="B15" s="1"/>
      <c r="C15" s="1"/>
      <c r="D15" s="1"/>
      <c r="E15" s="1"/>
      <c r="F15" s="27" t="s">
        <v>18</v>
      </c>
      <c r="G15" s="15"/>
      <c r="H15" s="28">
        <v>0.0</v>
      </c>
      <c r="I15" s="28">
        <v>40000.0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2.0" customHeight="1">
      <c r="A16" s="1"/>
      <c r="B16" s="1"/>
      <c r="C16" s="1"/>
      <c r="D16" s="1"/>
      <c r="E16" s="1"/>
      <c r="F16" s="14" t="s">
        <v>19</v>
      </c>
      <c r="G16" s="1"/>
      <c r="H16" s="19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12.0" customHeight="1">
      <c r="A17" s="1"/>
      <c r="B17" s="1"/>
      <c r="C17" s="1"/>
      <c r="D17" s="1"/>
      <c r="E17" s="1"/>
      <c r="F17" s="29" t="s">
        <v>20</v>
      </c>
      <c r="G17" s="1"/>
      <c r="H17" s="20">
        <v>17098.0</v>
      </c>
      <c r="I17" s="20">
        <v>230735.0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12.0" customHeight="1">
      <c r="A18" s="1"/>
      <c r="B18" s="1"/>
      <c r="C18" s="1"/>
      <c r="D18" s="1"/>
      <c r="E18" s="1"/>
      <c r="F18" s="26" t="s">
        <v>21</v>
      </c>
      <c r="G18" s="1"/>
      <c r="H18" s="20">
        <v>1267.0</v>
      </c>
      <c r="I18" s="20">
        <v>1266.0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12.0" customHeight="1">
      <c r="A19" s="1"/>
      <c r="B19" s="1"/>
      <c r="C19" s="1"/>
      <c r="D19" s="1"/>
      <c r="E19" s="1"/>
      <c r="F19" s="26" t="s">
        <v>22</v>
      </c>
      <c r="G19" s="1"/>
      <c r="H19" s="19">
        <v>700.0</v>
      </c>
      <c r="I19" s="19">
        <v>5000.0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12.0" customHeight="1">
      <c r="A20" s="1"/>
      <c r="B20" s="1"/>
      <c r="C20" s="1"/>
      <c r="D20" s="1"/>
      <c r="E20" s="1"/>
      <c r="F20" s="26" t="s">
        <v>23</v>
      </c>
      <c r="G20" s="1"/>
      <c r="H20" s="20">
        <v>0.0</v>
      </c>
      <c r="I20" s="20">
        <v>3000.0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12.0" customHeight="1">
      <c r="A21" s="1"/>
      <c r="B21" s="1"/>
      <c r="C21" s="1"/>
      <c r="D21" s="1"/>
      <c r="E21" s="1"/>
      <c r="F21" s="27" t="s">
        <v>18</v>
      </c>
      <c r="G21" s="1"/>
      <c r="H21" s="30">
        <f t="shared" ref="H21:I21" si="2">SUM(H17:H20)</f>
        <v>19065</v>
      </c>
      <c r="I21" s="30">
        <f t="shared" si="2"/>
        <v>240001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2.0" customHeight="1">
      <c r="A22" s="1"/>
      <c r="B22" s="1"/>
      <c r="C22" s="1"/>
      <c r="D22" s="1"/>
      <c r="E22" s="1"/>
      <c r="F22" s="14" t="s">
        <v>24</v>
      </c>
      <c r="G22" s="1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2.0" customHeight="1">
      <c r="A23" s="1"/>
      <c r="B23" s="1"/>
      <c r="C23" s="1"/>
      <c r="D23" s="1"/>
      <c r="E23" s="1"/>
      <c r="F23" s="18" t="s">
        <v>25</v>
      </c>
      <c r="G23" s="1"/>
      <c r="H23" s="19">
        <v>80.0</v>
      </c>
      <c r="I23" s="19">
        <v>150.0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2.0" customHeight="1">
      <c r="A24" s="1"/>
      <c r="B24" s="1"/>
      <c r="C24" s="1"/>
      <c r="D24" s="1"/>
      <c r="E24" s="1"/>
      <c r="F24" s="26" t="s">
        <v>26</v>
      </c>
      <c r="G24" s="1"/>
      <c r="H24" s="20">
        <v>1390.0</v>
      </c>
      <c r="I24" s="20">
        <v>3800.0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2.0" customHeight="1">
      <c r="A25" s="1"/>
      <c r="B25" s="1"/>
      <c r="C25" s="1"/>
      <c r="D25" s="1"/>
      <c r="E25" s="1"/>
      <c r="F25" s="31" t="s">
        <v>27</v>
      </c>
      <c r="G25" s="1"/>
      <c r="H25" s="19">
        <v>0.0</v>
      </c>
      <c r="I25" s="19">
        <v>725.0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2.0" customHeight="1">
      <c r="A26" s="1"/>
      <c r="B26" s="1"/>
      <c r="C26" s="1"/>
      <c r="D26" s="1"/>
      <c r="E26" s="1"/>
      <c r="F26" s="27" t="s">
        <v>18</v>
      </c>
      <c r="G26" s="15"/>
      <c r="H26" s="30">
        <f t="shared" ref="H26:I26" si="3">SUM(H23:H25)</f>
        <v>1470</v>
      </c>
      <c r="I26" s="30">
        <f t="shared" si="3"/>
        <v>4675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2.0" customHeight="1">
      <c r="A27" s="1"/>
      <c r="B27" s="1"/>
      <c r="C27" s="1"/>
      <c r="D27" s="1"/>
      <c r="E27" s="1"/>
      <c r="F27" s="14" t="s">
        <v>28</v>
      </c>
      <c r="G27" s="1"/>
      <c r="H27" s="19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2.0" customHeight="1">
      <c r="A28" s="1"/>
      <c r="B28" s="1"/>
      <c r="C28" s="1"/>
      <c r="D28" s="1"/>
      <c r="E28" s="1"/>
      <c r="F28" s="26" t="s">
        <v>29</v>
      </c>
      <c r="G28" s="1"/>
      <c r="H28" s="19">
        <v>875.0</v>
      </c>
      <c r="I28" s="20">
        <v>5000.0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2.0" customHeight="1">
      <c r="A29" s="1"/>
      <c r="B29" s="1"/>
      <c r="C29" s="1"/>
      <c r="D29" s="1"/>
      <c r="E29" s="1"/>
      <c r="F29" s="18" t="s">
        <v>30</v>
      </c>
      <c r="G29" s="1"/>
      <c r="H29" s="19">
        <v>400.0</v>
      </c>
      <c r="I29" s="20">
        <v>5000.0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2.0" customHeight="1">
      <c r="A30" s="1"/>
      <c r="B30" s="1"/>
      <c r="C30" s="1"/>
      <c r="D30" s="1"/>
      <c r="E30" s="1"/>
      <c r="F30" s="27" t="s">
        <v>18</v>
      </c>
      <c r="G30" s="15"/>
      <c r="H30" s="30">
        <f t="shared" ref="H30:I30" si="4">SUM(H28:H29)</f>
        <v>1275</v>
      </c>
      <c r="I30" s="30">
        <f t="shared" si="4"/>
        <v>10000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2.0" customHeight="1">
      <c r="A31" s="1"/>
      <c r="B31" s="1"/>
      <c r="C31" s="1"/>
      <c r="D31" s="1"/>
      <c r="E31" s="1"/>
      <c r="F31" s="14" t="s">
        <v>31</v>
      </c>
      <c r="G31" s="1"/>
      <c r="H31" s="19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2.0" customHeight="1">
      <c r="A32" s="1"/>
      <c r="B32" s="1"/>
      <c r="C32" s="1"/>
      <c r="D32" s="1"/>
      <c r="E32" s="1"/>
      <c r="F32" s="26" t="s">
        <v>32</v>
      </c>
      <c r="G32" s="1"/>
      <c r="H32" s="20">
        <v>0.0</v>
      </c>
      <c r="I32" s="32">
        <v>2500.0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2.0" customHeight="1">
      <c r="A33" s="1"/>
      <c r="B33" s="1"/>
      <c r="C33" s="1"/>
      <c r="D33" s="1"/>
      <c r="E33" s="1"/>
      <c r="F33" s="26" t="s">
        <v>33</v>
      </c>
      <c r="G33" s="1"/>
      <c r="H33" s="20">
        <v>36.0</v>
      </c>
      <c r="I33" s="20">
        <v>4120.0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2.0" customHeight="1">
      <c r="A34" s="1"/>
      <c r="B34" s="1"/>
      <c r="C34" s="1"/>
      <c r="D34" s="1"/>
      <c r="E34" s="1"/>
      <c r="F34" s="26" t="s">
        <v>34</v>
      </c>
      <c r="G34" s="1"/>
      <c r="H34" s="20">
        <v>360.0</v>
      </c>
      <c r="I34" s="20">
        <v>500.0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2.0" hidden="1" customHeight="1">
      <c r="A35" s="1"/>
      <c r="B35" s="1"/>
      <c r="C35" s="1"/>
      <c r="D35" s="1"/>
      <c r="E35" s="1"/>
      <c r="F35" s="18" t="s">
        <v>35</v>
      </c>
      <c r="G35" s="1"/>
      <c r="H35" s="19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2.0" customHeight="1">
      <c r="A36" s="1"/>
      <c r="B36" s="1"/>
      <c r="C36" s="1"/>
      <c r="D36" s="1"/>
      <c r="E36" s="1"/>
      <c r="F36" s="27" t="s">
        <v>18</v>
      </c>
      <c r="G36" s="1"/>
      <c r="H36" s="30">
        <f t="shared" ref="H36:I36" si="5">SUM(H32:H34)</f>
        <v>396</v>
      </c>
      <c r="I36" s="30">
        <f t="shared" si="5"/>
        <v>7120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2.0" customHeight="1">
      <c r="A37" s="1"/>
      <c r="B37" s="1"/>
      <c r="C37" s="1"/>
      <c r="D37" s="1"/>
      <c r="E37" s="1"/>
      <c r="F37" s="14" t="s">
        <v>36</v>
      </c>
      <c r="G37" s="1"/>
      <c r="H37" s="19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3.5" customHeight="1">
      <c r="A38" s="1"/>
      <c r="B38" s="1"/>
      <c r="C38" s="1"/>
      <c r="D38" s="1"/>
      <c r="E38" s="1"/>
      <c r="F38" s="33" t="s">
        <v>37</v>
      </c>
      <c r="G38" s="1"/>
      <c r="H38" s="20">
        <v>3000.0</v>
      </c>
      <c r="I38" s="20">
        <v>61500.0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2.75" customHeight="1">
      <c r="A39" s="1"/>
      <c r="B39" s="1"/>
      <c r="C39" s="1"/>
      <c r="D39" s="1"/>
      <c r="E39" s="1"/>
      <c r="F39" s="33" t="s">
        <v>38</v>
      </c>
      <c r="G39" s="1"/>
      <c r="H39" s="20">
        <v>0.0</v>
      </c>
      <c r="I39" s="20">
        <v>2500.0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2.0" customHeight="1">
      <c r="A40" s="1"/>
      <c r="B40" s="1"/>
      <c r="C40" s="1"/>
      <c r="D40" s="1"/>
      <c r="E40" s="1"/>
      <c r="F40" s="34" t="s">
        <v>18</v>
      </c>
      <c r="G40" s="1"/>
      <c r="H40" s="35">
        <f t="shared" ref="H40:I40" si="6">SUM(H22:H39)</f>
        <v>9282</v>
      </c>
      <c r="I40" s="35">
        <f t="shared" si="6"/>
        <v>107590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24.0" customHeight="1">
      <c r="A41" s="1"/>
      <c r="B41" s="1"/>
      <c r="C41" s="1"/>
      <c r="D41" s="1"/>
      <c r="E41" s="1"/>
      <c r="F41" s="36" t="s">
        <v>39</v>
      </c>
      <c r="G41" s="37"/>
      <c r="H41" s="38">
        <f t="shared" ref="H41:I41" si="7">SUM(H15,H21,H26,H30,H36,H40)</f>
        <v>31488</v>
      </c>
      <c r="I41" s="38">
        <f t="shared" si="7"/>
        <v>409386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1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2.0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2.0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2.0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2.0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2.0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2.0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2.0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2.0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2.0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2.0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2.0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2.0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2.0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2.0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2.0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2.0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2.0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2.0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2.0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2.0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2.0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2.0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2.0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2.0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2.0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2.0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2.0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2.0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2.0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2.0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2.0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2.0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2.0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2.0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2.0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2.0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2.0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2.0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2.0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2.0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2.0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2.0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2.0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2.0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2.0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2.0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2.0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2.0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2.0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2.0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2.0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2.0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2.0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2.0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2.0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2.0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2.0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2.0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2.0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2.0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2.0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2.0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2.0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2.0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2.0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2.0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2.0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2.0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2.0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2.0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2.0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2.0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2.0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2.0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2.0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2.0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2.0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2.0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2.0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2.0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2.0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2.0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2.0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2.0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2.0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2.0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2.0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2.0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2.0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2.0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2.0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2.0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2.0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2.0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2.0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2.0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2.0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2.0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2.0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2.0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2.0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2.0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2.0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2.0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2.0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2.0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2.0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0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0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0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0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0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0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0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0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0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0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0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0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0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0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0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0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0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0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0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0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0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0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0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0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0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0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0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0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0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0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0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0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0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0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0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0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0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0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0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0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0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0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0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0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0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0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0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0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0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0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0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0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0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0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0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0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0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0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0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0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0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0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0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0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0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0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0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0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0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0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0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0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0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0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0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0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0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0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0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0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0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0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0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0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0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0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0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0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0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0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0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0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0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0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0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0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0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0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0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0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0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0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0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0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0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0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0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0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0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0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0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0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0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0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0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0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0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0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0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0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0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0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0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0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0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2.0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2.0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2.0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2.0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2.0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2.0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2.0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2.0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2.0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2.0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2.0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2.0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2.0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2.0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2.0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2.0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2.0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2.0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2.0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2.0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2.0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2.0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2.0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2.0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2.0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2.0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2.0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2.0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2.0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2.0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2.0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2.0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2.0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2.0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2.0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2.0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2.0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2.0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2.0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2.0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2.0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2.0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2.0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2.0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2.0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2.0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2.0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2.0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2.0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2.0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2.0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2.0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2.0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2.0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2.0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2.0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2.0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2.0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2.0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2.0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2.0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2.0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2.0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2.0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2.0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2.0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2.0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2.0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2.0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2.0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2.0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2.0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2.0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2.0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2.0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2.0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2.0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2.0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2.0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2.0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2.0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2.0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2.0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2.0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2.0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2.0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2.0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2.0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2.0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2.0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2.0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2.0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2.0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2.0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2.0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2.0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2.0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2.0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2.0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2.0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2.0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2.0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2.0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2.0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2.0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2.0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2.0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2.0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2.0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2.0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2.0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2.0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2.0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2.0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2.0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2.0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2.0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2.0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2.0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2.0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2.0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2.0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2.0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2.0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2.0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2.0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2.0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2.0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2.0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2.0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2.0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2.0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2.0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2.0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2.0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2.0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2.0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2.0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2.0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2.0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2.0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2.0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2.0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2.0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2.0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2.0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2.0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2.0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2.0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2.0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2.0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2.0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2.0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2.0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2.0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2.0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2.0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2.0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2.0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2.0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2.0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2.0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2.0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2.0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2.0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2.0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2.0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2.0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2.0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2.0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2.0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2.0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2.0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2.0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2.0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2.0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2.0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2.0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2.0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2.0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2.0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2.0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2.0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2.0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2.0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2.0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2.0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2.0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2.0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2.0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2.0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2.0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2.0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2.0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2.0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2.0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2.0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2.0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2.0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2.0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2.0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2.0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2.0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2.0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2.0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2.0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2.0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2.0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2.0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2.0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2.0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2.0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2.0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2.0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2.0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2.0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2.0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2.0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2.0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2.0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2.0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2.0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2.0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2.0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2.0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2.0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2.0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2.0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2.0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2.0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2.0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2.0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2.0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2.0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2.0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2.0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2.0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2.0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2.0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2.0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2.0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2.0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2.0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2.0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2.0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2.0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2.0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2.0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2.0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2.0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2.0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2.0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2.0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2.0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2.0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2.0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2.0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2.0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2.0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2.0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2.0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2.0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2.0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2.0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2.0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2.0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2.0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2.0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2.0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2.0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2.0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2.0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2.0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2.0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2.0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2.0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2.0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2.0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2.0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2.0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2.0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2.0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2.0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2.0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2.0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2.0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2.0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2.0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2.0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2.0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2.0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2.0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2.0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2.0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2.0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2.0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2.0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2.0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2.0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2.0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2.0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2.0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2.0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2.0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2.0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2.0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2.0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2.0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2.0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2.0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2.0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2.0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2.0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2.0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2.0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2.0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2.0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2.0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2.0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2.0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2.0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2.0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2.0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2.0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2.0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2.0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2.0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2.0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2.0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2.0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2.0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2.0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2.0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2.0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2.0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2.0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2.0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2.0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2.0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2.0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2.0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2.0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2.0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2.0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2.0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2.0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2.0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2.0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2.0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2.0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2.0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2.0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2.0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2.0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2.0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2.0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2.0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2.0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2.0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2.0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2.0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2.0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2.0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2.0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2.0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2.0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2.0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2.0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2.0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2.0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2.0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2.0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2.0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2.0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2.0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2.0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2.0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2.0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2.0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2.0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2.0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2.0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2.0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2.0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2.0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2.0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2.0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2.0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2.0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2.0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2.0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2.0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2.0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2.0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2.0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2.0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2.0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2.0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2.0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2.0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2.0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2.0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2.0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2.0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2.0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2.0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2.0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2.0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2.0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2.0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2.0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2.0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2.0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2.0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2.0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2.0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2.0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2.0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2.0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2.0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2.0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2.0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2.0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2.0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2.0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2.0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2.0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2.0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2.0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2.0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2.0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2.0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2.0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2.0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2.0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2.0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2.0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2.0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2.0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2.0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2.0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2.0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2.0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2.0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2.0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2.0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2.0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2.0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2.0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2.0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2.0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2.0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2.0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2.0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2.0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2.0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2.0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2.0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2.0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2.0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2.0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2.0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2.0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2.0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2.0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2.0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2.0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2.0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2.0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2.0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2.0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2.0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2.0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2.0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2.0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2.0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2.0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2.0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2.0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2.0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2.0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2.0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2.0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2.0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2.0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2.0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2.0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2.0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2.0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2.0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2.0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2.0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2.0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2.0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2.0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2.0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2.0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2.0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2.0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2.0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2.0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2.0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2.0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2.0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2.0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2.0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2.0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2.0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2.0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2.0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2.0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2.0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2.0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2.0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2.0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2.0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2.0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2.0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2.0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2.0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2.0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2.0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2.0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2.0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2.0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2.0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2.0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2.0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2.0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2.0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2.0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2.0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2.0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2.0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2.0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2.0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2.0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2.0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2.0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2.0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2.0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2.0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2.0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2.0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2.0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2.0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2.0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2.0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2.0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2.0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2.0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2.0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</sheetData>
  <printOptions/>
  <pageMargins bottom="0.5" footer="0.0" header="0.0" left="0.25" right="0.25" top="1.5"/>
  <pageSetup fitToHeight="0" orientation="portrait"/>
  <headerFooter>
    <oddHeader>&amp;C FORM 1023, PART IX, PAGE 13 &amp;&amp; 14 FINANCIAL DATA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54.63"/>
    <col customWidth="1" min="3" max="3" width="16.25"/>
    <col customWidth="1" min="4" max="4" width="15.0"/>
    <col customWidth="1" min="5" max="23" width="6.63"/>
  </cols>
  <sheetData>
    <row r="1" ht="39.0" customHeight="1">
      <c r="A1" s="39" t="s">
        <v>40</v>
      </c>
      <c r="B1" s="40"/>
      <c r="C1" s="41" t="s">
        <v>41</v>
      </c>
      <c r="D1" s="42" t="s">
        <v>42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2.0" customHeight="1">
      <c r="A2" s="43"/>
      <c r="B2" s="1"/>
      <c r="C2" s="12"/>
      <c r="D2" s="1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2.0" customHeight="1">
      <c r="A3" s="43"/>
      <c r="B3" s="1"/>
      <c r="C3" s="12"/>
      <c r="D3" s="1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2.0" customHeight="1">
      <c r="A4" s="43" t="s">
        <v>43</v>
      </c>
      <c r="B4" s="44" t="s">
        <v>44</v>
      </c>
      <c r="C4" s="45"/>
      <c r="D4" s="4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2.0" customHeight="1">
      <c r="A5" s="43"/>
      <c r="B5" s="47" t="s">
        <v>45</v>
      </c>
      <c r="C5" s="45">
        <v>0.0</v>
      </c>
      <c r="D5" s="46">
        <v>20000.0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2.0" customHeight="1">
      <c r="A6" s="1"/>
      <c r="B6" s="1"/>
      <c r="C6" s="48"/>
      <c r="D6" s="4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2.0" customHeight="1">
      <c r="A7" s="1"/>
      <c r="B7" s="1"/>
      <c r="C7" s="48"/>
      <c r="D7" s="4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2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2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2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2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2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2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2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2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2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2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2.0" customHeight="1">
      <c r="A131" s="1"/>
      <c r="B131" s="1"/>
      <c r="C131" s="1"/>
      <c r="D131" s="1">
        <f>SUM(D27:D130)</f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</sheetData>
  <mergeCells count="1">
    <mergeCell ref="A1:B1"/>
  </mergeCells>
  <printOptions/>
  <pageMargins bottom="0.5" footer="0.0" header="0.0" left="0.25" right="0.25" top="1.5"/>
  <pageSetup scale="88" orientation="portrait"/>
  <headerFooter>
    <oddHeader>&amp;C  FORM 1023, PART IX, PAGE 13 &amp;&amp; 14 FINANCIAL DATA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4.38"/>
    <col customWidth="1" min="3" max="26" width="8.63"/>
  </cols>
  <sheetData>
    <row r="1" ht="12.0" customHeight="1">
      <c r="A1" s="49" t="s">
        <v>46</v>
      </c>
      <c r="B1" s="49" t="s">
        <v>47</v>
      </c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2009-03-14T06:04:10Z</dcterms:created>
  <dc:creator>Aaron Burcham</dc:creator>
</cp:coreProperties>
</file>