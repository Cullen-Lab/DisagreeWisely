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Foundation Group materials/"/>
    </mc:Choice>
  </mc:AlternateContent>
  <xr:revisionPtr revIDLastSave="0" documentId="13_ncr:1_{4104E395-BD62-0E4E-8F65-F3D1F158B575}" xr6:coauthVersionLast="47" xr6:coauthVersionMax="47" xr10:uidLastSave="{00000000-0000-0000-0000-000000000000}"/>
  <bookViews>
    <workbookView xWindow="2040" yWindow="740" windowWidth="23120" windowHeight="17200" xr2:uid="{00000000-000D-0000-FFFF-FFFF00000000}"/>
  </bookViews>
  <sheets>
    <sheet name="Financial Projections" sheetId="1" r:id="rId1"/>
    <sheet name="Salary Breakdown" sheetId="2" r:id="rId2"/>
    <sheet name="Financial Actuals" sheetId="3" r:id="rId3"/>
    <sheet name="Program Expense Itemize List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J170" i="3"/>
  <c r="J194" i="3" s="1"/>
  <c r="M137" i="3"/>
  <c r="L137" i="3"/>
  <c r="K137" i="3"/>
  <c r="J137" i="3"/>
  <c r="M91" i="3"/>
  <c r="L91" i="3"/>
  <c r="K91" i="3"/>
  <c r="J91" i="3"/>
  <c r="M84" i="3"/>
  <c r="L84" i="3"/>
  <c r="K84" i="3"/>
  <c r="J84" i="3"/>
  <c r="L73" i="3"/>
  <c r="L71" i="3"/>
  <c r="E64" i="3" s="1"/>
  <c r="E70" i="3"/>
  <c r="D70" i="3"/>
  <c r="C70" i="3"/>
  <c r="B70" i="3"/>
  <c r="M69" i="3"/>
  <c r="L69" i="3"/>
  <c r="K69" i="3"/>
  <c r="J69" i="3"/>
  <c r="E69" i="3"/>
  <c r="D69" i="3"/>
  <c r="C69" i="3"/>
  <c r="B69" i="3"/>
  <c r="M67" i="3"/>
  <c r="L67" i="3"/>
  <c r="K67" i="3"/>
  <c r="J67" i="3"/>
  <c r="E66" i="3"/>
  <c r="D66" i="3"/>
  <c r="C66" i="3"/>
  <c r="B66" i="3"/>
  <c r="C65" i="3"/>
  <c r="C64" i="3"/>
  <c r="E63" i="3"/>
  <c r="D63" i="3"/>
  <c r="C63" i="3"/>
  <c r="B63" i="3"/>
  <c r="E62" i="3"/>
  <c r="D62" i="3"/>
  <c r="C62" i="3"/>
  <c r="B62" i="3"/>
  <c r="E61" i="3"/>
  <c r="D61" i="3"/>
  <c r="C61" i="3"/>
  <c r="B61" i="3"/>
  <c r="M60" i="3"/>
  <c r="L60" i="3"/>
  <c r="K60" i="3"/>
  <c r="J60" i="3"/>
  <c r="M34" i="3"/>
  <c r="M35" i="3" s="1"/>
  <c r="L34" i="3"/>
  <c r="L35" i="3" s="1"/>
  <c r="K34" i="3"/>
  <c r="K35" i="3" s="1"/>
  <c r="J34" i="3"/>
  <c r="J35" i="3" s="1"/>
  <c r="E16" i="3"/>
  <c r="D16" i="3"/>
  <c r="C16" i="3"/>
  <c r="B16" i="3"/>
  <c r="E15" i="3"/>
  <c r="D15" i="3"/>
  <c r="C15" i="3"/>
  <c r="B15" i="3"/>
  <c r="M9" i="3"/>
  <c r="L9" i="3"/>
  <c r="K9" i="3"/>
  <c r="J9" i="3"/>
  <c r="E9" i="3"/>
  <c r="D9" i="3"/>
  <c r="C9" i="3"/>
  <c r="B9" i="3"/>
  <c r="E8" i="3"/>
  <c r="D8" i="3"/>
  <c r="C8" i="3"/>
  <c r="B8" i="3"/>
  <c r="E7" i="3"/>
  <c r="D7" i="3"/>
  <c r="C7" i="3"/>
  <c r="B7" i="3"/>
  <c r="G148" i="2"/>
  <c r="F148" i="2"/>
  <c r="E148" i="2"/>
  <c r="D148" i="2"/>
  <c r="G20" i="2"/>
  <c r="F20" i="2"/>
  <c r="M74" i="3" s="1"/>
  <c r="M76" i="3" s="1"/>
  <c r="E20" i="2"/>
  <c r="L74" i="3" s="1"/>
  <c r="D20" i="2"/>
  <c r="K74" i="3" s="1"/>
  <c r="C20" i="2"/>
  <c r="J74" i="3" s="1"/>
  <c r="G12" i="2"/>
  <c r="F12" i="2"/>
  <c r="M71" i="3" s="1"/>
  <c r="M73" i="3" s="1"/>
  <c r="E12" i="2"/>
  <c r="D12" i="2"/>
  <c r="K71" i="3" s="1"/>
  <c r="C12" i="2"/>
  <c r="J71" i="3" s="1"/>
  <c r="M137" i="1"/>
  <c r="L137" i="1"/>
  <c r="L138" i="1" s="1"/>
  <c r="K137" i="1"/>
  <c r="K138" i="1" s="1"/>
  <c r="J121" i="1"/>
  <c r="J137" i="1" s="1"/>
  <c r="J138" i="1" s="1"/>
  <c r="M91" i="1"/>
  <c r="L91" i="1"/>
  <c r="K91" i="1"/>
  <c r="J91" i="1"/>
  <c r="M84" i="1"/>
  <c r="L84" i="1"/>
  <c r="K84" i="1"/>
  <c r="J84" i="1"/>
  <c r="M76" i="1"/>
  <c r="L76" i="1"/>
  <c r="K76" i="1"/>
  <c r="J76" i="1"/>
  <c r="J73" i="1"/>
  <c r="E70" i="1"/>
  <c r="D70" i="1"/>
  <c r="C70" i="1"/>
  <c r="M69" i="1"/>
  <c r="L69" i="1"/>
  <c r="K69" i="1"/>
  <c r="J69" i="1"/>
  <c r="E69" i="1"/>
  <c r="D69" i="1"/>
  <c r="C69" i="1"/>
  <c r="B69" i="1"/>
  <c r="M67" i="1"/>
  <c r="L67" i="1"/>
  <c r="K67" i="1"/>
  <c r="J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M60" i="1"/>
  <c r="L60" i="1"/>
  <c r="K60" i="1"/>
  <c r="J60" i="1"/>
  <c r="M34" i="1"/>
  <c r="M35" i="1" s="1"/>
  <c r="L34" i="1"/>
  <c r="L35" i="1" s="1"/>
  <c r="K34" i="1"/>
  <c r="J34" i="1"/>
  <c r="J35" i="1" s="1"/>
  <c r="E16" i="1"/>
  <c r="D16" i="1"/>
  <c r="C16" i="1"/>
  <c r="B16" i="1"/>
  <c r="E15" i="1"/>
  <c r="D15" i="1"/>
  <c r="C15" i="1"/>
  <c r="B15" i="1"/>
  <c r="M9" i="1"/>
  <c r="L9" i="1"/>
  <c r="K9" i="1"/>
  <c r="J9" i="1"/>
  <c r="E9" i="1"/>
  <c r="D9" i="1"/>
  <c r="C9" i="1"/>
  <c r="B9" i="1"/>
  <c r="E8" i="1"/>
  <c r="D8" i="1"/>
  <c r="C8" i="1"/>
  <c r="B8" i="1"/>
  <c r="E7" i="1"/>
  <c r="D7" i="1"/>
  <c r="C7" i="1"/>
  <c r="B7" i="1"/>
  <c r="K35" i="1" l="1"/>
  <c r="M138" i="1"/>
  <c r="D64" i="3"/>
  <c r="K73" i="3"/>
  <c r="B65" i="3"/>
  <c r="J76" i="3"/>
  <c r="J138" i="3" s="1"/>
  <c r="D65" i="3"/>
  <c r="K76" i="3"/>
  <c r="K138" i="3" s="1"/>
  <c r="E65" i="3"/>
  <c r="L76" i="3"/>
  <c r="L138" i="3" s="1"/>
  <c r="M138" i="3"/>
  <c r="J73" i="3"/>
  <c r="B64" i="3"/>
  <c r="J205" i="3"/>
  <c r="B70" i="1"/>
</calcChain>
</file>

<file path=xl/sharedStrings.xml><?xml version="1.0" encoding="utf-8"?>
<sst xmlns="http://schemas.openxmlformats.org/spreadsheetml/2006/main" count="415" uniqueCount="223">
  <si>
    <t>Page 13</t>
  </si>
  <si>
    <t>A. STATEMENT OF REVENUES AND EXPENSES</t>
  </si>
  <si>
    <t>Current Tax Year</t>
  </si>
  <si>
    <t>Proposed</t>
  </si>
  <si>
    <t>Actuals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</si>
  <si>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</si>
  <si>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</si>
  <si>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</si>
  <si>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</si>
  <si>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</si>
  <si>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</si>
  <si>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</si>
  <si>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</si>
  <si>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</si>
  <si>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</si>
  <si>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</si>
  <si>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</si>
  <si>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</si>
  <si>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</si>
  <si>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 (Sway for students and general public)</t>
  </si>
  <si>
    <t xml:space="preserve">  Program #2 Revenue (faculty training workshops)</t>
  </si>
  <si>
    <t xml:space="preserve">  Program #3 Revenue (empirical research studies)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</si>
  <si>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</si>
  <si>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</si>
  <si>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</si>
  <si>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</si>
  <si>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</si>
  <si>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</si>
  <si>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</si>
  <si>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</si>
  <si>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</si>
  <si>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</si>
  <si>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</si>
  <si>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</si>
  <si>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</si>
  <si>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</si>
  <si>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</si>
  <si>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</si>
  <si>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</si>
  <si>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</si>
  <si>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</si>
  <si>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</si>
  <si>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</si>
  <si>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</si>
  <si>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</si>
  <si>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</si>
  <si>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</si>
  <si>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</si>
  <si>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</si>
  <si>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</si>
  <si>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</si>
  <si>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</si>
  <si>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</si>
  <si>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</si>
  <si>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</si>
  <si>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</si>
  <si>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</si>
  <si>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</si>
  <si>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</si>
  <si>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</si>
  <si>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</si>
  <si>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</si>
  <si>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</si>
  <si>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</si>
  <si>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</si>
  <si>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</si>
  <si>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</si>
  <si>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</si>
  <si>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</si>
  <si>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</si>
  <si>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</si>
  <si>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</si>
  <si>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</si>
  <si>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</si>
  <si>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</si>
  <si>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</si>
  <si>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</si>
  <si>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</si>
  <si>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</si>
  <si>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</si>
  <si>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</si>
  <si>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</si>
  <si>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</si>
  <si>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</si>
  <si>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</si>
  <si>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</si>
  <si>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</si>
  <si>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</si>
  <si>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</si>
  <si>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</si>
  <si>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</si>
  <si>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</si>
  <si>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</si>
  <si>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</si>
  <si>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</si>
  <si>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</si>
  <si>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</si>
  <si>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</si>
  <si>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</si>
  <si>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</si>
  <si>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</si>
  <si>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</si>
  <si>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</si>
  <si>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</si>
  <si>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</si>
  <si>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</si>
  <si>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</si>
  <si>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</si>
  <si>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</si>
  <si>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</si>
  <si>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</si>
  <si>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</si>
  <si>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</si>
  <si>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</si>
  <si>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</si>
  <si>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</si>
  <si>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Depreciation, Depletion &amp; Amortization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</si>
  <si>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</si>
  <si>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</si>
  <si>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</si>
  <si>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</si>
  <si>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(provide a list)</t>
  </si>
  <si>
    <t xml:space="preserve">  Program #1 Expense (costs for technical infrastructure to run Sway; includes server costs, AI costs, and performance tracking costs, etc.) </t>
  </si>
  <si>
    <t xml:space="preserve">  Program #2 Expense consumable (provide a list)</t>
  </si>
  <si>
    <t xml:space="preserve">  Program #2 Expense (faculty training workshop costs, including venue, meeting materials, catering, etc.)</t>
  </si>
  <si>
    <t xml:space="preserve">  Program #3 Expense consumable (provide a list)</t>
  </si>
  <si>
    <t xml:space="preserve">  Program #3 Expense non-consumable (empirical studies; costs for experimental participants and technical infrastructure to run studies, etc.)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</si>
  <si>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</si>
  <si>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</si>
  <si>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</si>
  <si>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</si>
  <si>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</si>
  <si>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</si>
  <si>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</si>
  <si>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</si>
  <si>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</si>
  <si>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</si>
  <si>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</si>
  <si>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</si>
  <si>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12/31/20YY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</si>
  <si>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</si>
  <si>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</si>
  <si>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</si>
  <si>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</si>
  <si>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</si>
  <si>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</si>
  <si>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</si>
  <si>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</si>
  <si>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</si>
  <si>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</si>
  <si>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</si>
  <si>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</si>
  <si>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</si>
  <si>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</si>
  <si>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</si>
  <si>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</si>
  <si>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</si>
  <si>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</si>
  <si>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</si>
  <si>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</si>
  <si>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</si>
  <si>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</si>
  <si>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</si>
  <si>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</si>
  <si>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</si>
  <si>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</si>
  <si>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</si>
  <si>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</si>
  <si>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</si>
  <si>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</si>
  <si>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</si>
  <si>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</si>
  <si>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</si>
  <si>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</si>
  <si>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</si>
  <si>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</si>
  <si>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</si>
  <si>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</si>
  <si>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</si>
  <si>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</si>
  <si>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</si>
  <si>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</si>
  <si>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</si>
  <si>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</si>
  <si>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</si>
  <si>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</si>
  <si>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</si>
  <si>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</si>
  <si>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</si>
  <si>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</si>
  <si>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</si>
  <si>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</si>
  <si>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</si>
  <si>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</si>
  <si>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</si>
  <si>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</si>
  <si>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</si>
  <si>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Current Tax Year 1/1/2025 - 5/31/2025</t>
  </si>
  <si>
    <t>Proposed 6/1/2025 - 12/31/2025</t>
  </si>
  <si>
    <t>Proposed 1/1/2026 - 12/31/2026</t>
  </si>
  <si>
    <t>Proposed 1/1/2027 - 12/31/2027</t>
  </si>
  <si>
    <t>Actuals   1/1/2024 - 12/31/2024</t>
  </si>
  <si>
    <t>Line 17</t>
  </si>
  <si>
    <t xml:space="preserve">  Officers, Directors/Trustees, Key Employees Salaries (51100)</t>
  </si>
  <si>
    <t>Total carries to Line 51100 of Chart of Accounts</t>
  </si>
  <si>
    <t>Line 18</t>
  </si>
  <si>
    <t xml:space="preserve">  Salaries &amp; Wages- Other (51200)</t>
  </si>
  <si>
    <t>Research Scientist / To be hired</t>
  </si>
  <si>
    <t>Total carries to Line 51200 of Chart of Accounts</t>
  </si>
  <si>
    <t xml:space="preserve">  Membership Dues</t>
  </si>
  <si>
    <t xml:space="preserve">  Program #1 Revenue</t>
  </si>
  <si>
    <t xml:space="preserve">  Program #2 Revenue</t>
  </si>
  <si>
    <t xml:space="preserve">  Program #3 Revenue</t>
  </si>
  <si>
    <t xml:space="preserve">  Professional Fees- Other</t>
  </si>
  <si>
    <t xml:space="preserve">  Licenses, Fees &amp; Dues</t>
  </si>
  <si>
    <t xml:space="preserve">  Program #1 Expense non-consumable (provide a list)</t>
  </si>
  <si>
    <t xml:space="preserve">  Program #2 Expense non-consumable (provide a list)</t>
  </si>
  <si>
    <t xml:space="preserve">  Program #3 Expense non-consumable (provide a list)</t>
  </si>
  <si>
    <t>Expense Item</t>
  </si>
  <si>
    <t>Estimated Cost</t>
  </si>
  <si>
    <t>Simon Cullen, Chief Executive Officer</t>
  </si>
  <si>
    <t>Nicholas DiBella, Chief Technology and Operations Officer</t>
  </si>
  <si>
    <t>Senior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</si>
</sst>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7" formatCode="&quot;$&quot;#,##0.00_);\(&quot;$&quot;#,##0.00\)"/>
    <numFmt numFmtId="164" formatCode="&quot;$&quot;#,##0.00"/>
    <numFmt numFmtId="165" formatCode="&quot;$&quot;#,##0"/>
    <numFmt numFmtId="166" formatCode="_(&quot;$&quot;* #,##0.0000_);_(&quot;$&quot;* \(#,##0.0000\);_(&quot;$&quot;* &quot;-&quot;??_);_(@_)"/>
    <numFmt numFmtId="167" formatCode="_(&quot;$&quot;* #,##0_);_(&quot;$&quot;* \(#,##0\);_(&quot;$&quot;* &quot;-&quot;??_);_(@_)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Trebuchet MS"/>
      <family val="2"/>
    </font>
    <font>
      <b/>
      <u/>
      <sz val="10"/>
      <color theme="1"/>
      <name val="Arial"/>
      <family val="2"/>
    </font>
    <font>
      <b/>
      <sz val="10"/>
      <color theme="1"/>
      <name val="Trebuchet MS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8"/>
  </cellStyleXfs>
  <cellXfs count="107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3" xfId="0" applyFont="1" applyBorder="1"/>
    <xf numFmtId="0" fontId="4" fillId="0" borderId="11" xfId="0" applyFont="1" applyBorder="1" applyAlignment="1">
      <alignment horizontal="left"/>
    </xf>
    <xf numFmtId="0" fontId="4" fillId="0" borderId="4" xfId="0" applyFont="1" applyBorder="1"/>
    <xf numFmtId="0" fontId="4" fillId="0" borderId="0" xfId="0" applyFont="1" applyBorder="1"/>
    <xf numFmtId="164" fontId="1" fillId="0" borderId="11" xfId="0" applyNumberFormat="1" applyFont="1" applyBorder="1"/>
    <xf numFmtId="164" fontId="1" fillId="0" borderId="0" xfId="0" applyNumberFormat="1" applyFont="1" applyBorder="1"/>
    <xf numFmtId="0" fontId="1" fillId="0" borderId="11" xfId="0" applyFont="1" applyBorder="1"/>
    <xf numFmtId="0" fontId="1" fillId="0" borderId="4" xfId="0" applyFont="1" applyBorder="1"/>
    <xf numFmtId="165" fontId="1" fillId="0" borderId="11" xfId="0" applyNumberFormat="1" applyFont="1" applyBorder="1"/>
    <xf numFmtId="0" fontId="4" fillId="0" borderId="4" xfId="0" applyFont="1" applyBorder="1" applyAlignment="1">
      <alignment horizontal="right"/>
    </xf>
    <xf numFmtId="165" fontId="4" fillId="0" borderId="11" xfId="0" applyNumberFormat="1" applyFont="1" applyBorder="1"/>
    <xf numFmtId="0" fontId="1" fillId="0" borderId="12" xfId="0" applyFont="1" applyBorder="1"/>
    <xf numFmtId="165" fontId="4" fillId="0" borderId="3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11" xfId="0" applyFont="1" applyBorder="1"/>
    <xf numFmtId="0" fontId="6" fillId="0" borderId="4" xfId="0" applyFont="1" applyBorder="1"/>
    <xf numFmtId="0" fontId="6" fillId="0" borderId="0" xfId="0" applyFont="1" applyBorder="1"/>
    <xf numFmtId="0" fontId="4" fillId="0" borderId="12" xfId="0" applyFont="1" applyBorder="1" applyAlignment="1">
      <alignment horizontal="right"/>
    </xf>
    <xf numFmtId="0" fontId="1" fillId="0" borderId="13" xfId="0" applyFont="1" applyBorder="1"/>
    <xf numFmtId="0" fontId="4" fillId="0" borderId="13" xfId="0" applyFont="1" applyBorder="1"/>
    <xf numFmtId="0" fontId="1" fillId="0" borderId="14" xfId="0" applyFont="1" applyBorder="1"/>
    <xf numFmtId="165" fontId="1" fillId="0" borderId="13" xfId="0" applyNumberFormat="1" applyFont="1" applyBorder="1"/>
    <xf numFmtId="165" fontId="1" fillId="0" borderId="0" xfId="0" applyNumberFormat="1" applyFont="1" applyBorder="1"/>
    <xf numFmtId="0" fontId="7" fillId="0" borderId="0" xfId="0" applyFont="1" applyBorder="1"/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left" vertical="top"/>
    </xf>
    <xf numFmtId="165" fontId="1" fillId="0" borderId="3" xfId="0" applyNumberFormat="1" applyFont="1" applyBorder="1"/>
    <xf numFmtId="0" fontId="8" fillId="0" borderId="0" xfId="0" applyFont="1" applyBorder="1" applyAlignment="1">
      <alignment horizontal="center"/>
    </xf>
    <xf numFmtId="0" fontId="8" fillId="0" borderId="15" xfId="0" applyFont="1" applyBorder="1"/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1" fillId="0" borderId="17" xfId="0" applyFont="1" applyBorder="1"/>
    <xf numFmtId="166" fontId="1" fillId="0" borderId="0" xfId="0" applyNumberFormat="1" applyFont="1" applyBorder="1"/>
    <xf numFmtId="0" fontId="1" fillId="0" borderId="19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4" fillId="0" borderId="7" xfId="0" applyFont="1" applyBorder="1"/>
    <xf numFmtId="0" fontId="1" fillId="0" borderId="15" xfId="0" applyFont="1" applyBorder="1"/>
    <xf numFmtId="14" fontId="4" fillId="0" borderId="4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7" fontId="1" fillId="0" borderId="11" xfId="0" applyNumberFormat="1" applyFont="1" applyBorder="1"/>
    <xf numFmtId="5" fontId="1" fillId="0" borderId="11" xfId="0" applyNumberFormat="1" applyFont="1" applyBorder="1"/>
    <xf numFmtId="0" fontId="4" fillId="0" borderId="9" xfId="0" applyFont="1" applyBorder="1" applyAlignment="1">
      <alignment horizontal="center"/>
    </xf>
    <xf numFmtId="5" fontId="4" fillId="0" borderId="11" xfId="0" applyNumberFormat="1" applyFont="1" applyBorder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1" xfId="0" applyFont="1" applyBorder="1"/>
    <xf numFmtId="0" fontId="10" fillId="0" borderId="11" xfId="0" applyFont="1" applyBorder="1"/>
    <xf numFmtId="5" fontId="6" fillId="0" borderId="11" xfId="0" applyNumberFormat="1" applyFont="1" applyBorder="1"/>
    <xf numFmtId="0" fontId="1" fillId="0" borderId="2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4" fillId="0" borderId="20" xfId="0" applyFont="1" applyBorder="1" applyAlignment="1">
      <alignment horizontal="left"/>
    </xf>
    <xf numFmtId="0" fontId="4" fillId="0" borderId="23" xfId="0" applyFont="1" applyBorder="1" applyAlignment="1">
      <alignment horizontal="center" wrapText="1"/>
    </xf>
    <xf numFmtId="0" fontId="1" fillId="0" borderId="24" xfId="0" applyFont="1" applyBorder="1"/>
    <xf numFmtId="0" fontId="1" fillId="0" borderId="25" xfId="0" applyFont="1" applyBorder="1"/>
    <xf numFmtId="5" fontId="1" fillId="0" borderId="6" xfId="0" applyNumberFormat="1" applyFont="1" applyBorder="1"/>
    <xf numFmtId="5" fontId="1" fillId="0" borderId="7" xfId="0" applyNumberFormat="1" applyFont="1" applyBorder="1"/>
    <xf numFmtId="0" fontId="1" fillId="0" borderId="6" xfId="0" applyFont="1" applyBorder="1"/>
    <xf numFmtId="5" fontId="1" fillId="0" borderId="20" xfId="0" applyNumberFormat="1" applyFont="1" applyBorder="1"/>
    <xf numFmtId="5" fontId="1" fillId="0" borderId="9" xfId="0" applyNumberFormat="1" applyFont="1" applyBorder="1"/>
    <xf numFmtId="5" fontId="1" fillId="0" borderId="10" xfId="0" applyNumberFormat="1" applyFont="1" applyBorder="1"/>
    <xf numFmtId="0" fontId="4" fillId="0" borderId="26" xfId="0" applyFont="1" applyBorder="1"/>
    <xf numFmtId="0" fontId="4" fillId="0" borderId="27" xfId="0" applyFont="1" applyBorder="1"/>
    <xf numFmtId="5" fontId="4" fillId="0" borderId="28" xfId="0" applyNumberFormat="1" applyFont="1" applyBorder="1"/>
    <xf numFmtId="5" fontId="4" fillId="0" borderId="23" xfId="0" applyNumberFormat="1" applyFont="1" applyBorder="1"/>
    <xf numFmtId="5" fontId="4" fillId="0" borderId="27" xfId="0" applyNumberFormat="1" applyFont="1" applyBorder="1"/>
    <xf numFmtId="5" fontId="4" fillId="0" borderId="29" xfId="0" applyNumberFormat="1" applyFont="1" applyBorder="1"/>
    <xf numFmtId="167" fontId="1" fillId="0" borderId="0" xfId="0" applyNumberFormat="1" applyFont="1" applyBorder="1"/>
    <xf numFmtId="164" fontId="4" fillId="0" borderId="11" xfId="0" applyNumberFormat="1" applyFont="1" applyBorder="1"/>
    <xf numFmtId="164" fontId="4" fillId="0" borderId="3" xfId="0" applyNumberFormat="1" applyFont="1" applyBorder="1"/>
    <xf numFmtId="164" fontId="1" fillId="0" borderId="13" xfId="0" applyNumberFormat="1" applyFont="1" applyBorder="1"/>
    <xf numFmtId="164" fontId="1" fillId="0" borderId="3" xfId="0" applyNumberFormat="1" applyFont="1" applyBorder="1"/>
    <xf numFmtId="7" fontId="4" fillId="0" borderId="11" xfId="0" applyNumberFormat="1" applyFont="1" applyBorder="1"/>
    <xf numFmtId="7" fontId="6" fillId="0" borderId="11" xfId="0" applyNumberFormat="1" applyFont="1" applyBorder="1"/>
    <xf numFmtId="0" fontId="11" fillId="0" borderId="0" xfId="0" applyFont="1" applyBorder="1"/>
    <xf numFmtId="0" fontId="12" fillId="0" borderId="22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1" fillId="0" borderId="20" xfId="0" applyFont="1" applyBorder="1"/>
    <xf numFmtId="0" fontId="11" fillId="0" borderId="11" xfId="0" applyFont="1" applyBorder="1"/>
    <xf numFmtId="0" fontId="11" fillId="0" borderId="4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6" xfId="0" applyFont="1" applyBorder="1"/>
    <xf numFmtId="0" fontId="1" fillId="0" borderId="20" xfId="0" applyFont="1" applyBorder="1"/>
    <xf numFmtId="166" fontId="9" fillId="0" borderId="18" xfId="0" applyNumberFormat="1" applyFont="1"/>
    <xf numFmtId="0" fontId="0" fillId="0" borderId="0" xfId="0" applyBorder="1"/>
    <xf numFmtId="0" fontId="4" fillId="0" borderId="30" xfId="0" applyFont="1" applyBorder="1" applyAlignment="1">
      <alignment horizontal="center" wrapText="1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F85" zoomScale="105" workbookViewId="0">
      <selection activeCell="L123" sqref="L123"/>
    </sheetView>
  </sheetViews>
  <sheetFormatPr baseColWidth="10" defaultColWidth="12.6640625" defaultRowHeight="15" customHeight="1" x14ac:dyDescent="0.15"/>
  <cols>
    <col min="1" max="1" width="9.33203125" hidden="1" customWidth="1"/>
    <col min="2" max="5" width="10.33203125" hidden="1" customWidth="1"/>
    <col min="6" max="6" width="7.6640625" customWidth="1"/>
    <col min="7" max="7" width="6.6640625" customWidth="1"/>
    <col min="8" max="8" width="46" customWidth="1"/>
    <col min="9" max="9" width="2" customWidth="1"/>
    <col min="10" max="10" width="14.6640625" customWidth="1"/>
    <col min="11" max="11" width="11.33203125" customWidth="1"/>
    <col min="12" max="12" width="10.6640625" customWidth="1"/>
    <col min="13" max="13" width="11.33203125" customWidth="1"/>
    <col min="14" max="14" width="11.33203125" hidden="1" customWidth="1"/>
    <col min="15" max="26" width="9.33203125" customWidth="1"/>
  </cols>
  <sheetData>
    <row r="1" spans="1:26" ht="12" customHeight="1" x14ac:dyDescent="0.2">
      <c r="A1" s="1"/>
      <c r="B1" s="1"/>
      <c r="C1" s="1"/>
      <c r="D1" s="1"/>
      <c r="E1" s="1"/>
      <c r="F1" s="97"/>
      <c r="G1" s="98"/>
      <c r="H1" s="99" t="s">
        <v>0</v>
      </c>
      <c r="I1" s="98"/>
      <c r="J1" s="100" t="s">
        <v>1</v>
      </c>
      <c r="K1" s="100"/>
      <c r="L1" s="100"/>
      <c r="M1" s="100"/>
      <c r="N1" s="10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2"/>
      <c r="G2" s="1"/>
      <c r="H2" s="1"/>
      <c r="I2" s="1"/>
      <c r="J2" s="3" t="s">
        <v>2</v>
      </c>
      <c r="K2" s="4" t="s">
        <v>3</v>
      </c>
      <c r="L2" s="5" t="s">
        <v>3</v>
      </c>
      <c r="M2" s="5" t="s">
        <v>3</v>
      </c>
      <c r="N2" s="5" t="s"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2"/>
      <c r="G3" s="1"/>
      <c r="H3" s="1"/>
      <c r="I3" s="1"/>
      <c r="J3" s="6">
        <v>45749</v>
      </c>
      <c r="K3" s="7">
        <v>45849</v>
      </c>
      <c r="L3" s="8">
        <v>46023</v>
      </c>
      <c r="M3" s="8">
        <v>46388</v>
      </c>
      <c r="N3" s="8">
        <v>45292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2"/>
      <c r="G4" s="9"/>
      <c r="H4" s="9"/>
      <c r="I4" s="1"/>
      <c r="J4" s="10">
        <v>45848</v>
      </c>
      <c r="K4" s="11">
        <v>46022</v>
      </c>
      <c r="L4" s="8">
        <v>46387</v>
      </c>
      <c r="M4" s="12">
        <v>46752</v>
      </c>
      <c r="N4" s="12">
        <v>45657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2"/>
      <c r="G5" s="13"/>
      <c r="H5" s="13" t="s">
        <v>5</v>
      </c>
      <c r="I5" s="1"/>
      <c r="J5" s="14"/>
      <c r="K5" s="15"/>
      <c r="L5" s="16"/>
      <c r="M5" s="16"/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 t="s">
        <v>6</v>
      </c>
      <c r="C6" s="1"/>
      <c r="D6" s="1"/>
      <c r="E6" s="1"/>
      <c r="F6" s="9"/>
      <c r="G6" s="17">
        <v>40000</v>
      </c>
      <c r="H6" s="18" t="s">
        <v>7</v>
      </c>
      <c r="I6" s="19"/>
      <c r="J6" s="20"/>
      <c r="K6" s="20"/>
      <c r="L6" s="20"/>
      <c r="M6" s="20"/>
      <c r="N6" s="2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>
        <v>1</v>
      </c>
      <c r="B7" s="21">
        <f>J7+J8</f>
        <v>170000</v>
      </c>
      <c r="C7" s="21" t="e">
        <f>#REF!+#REF!</f>
        <v>#REF!</v>
      </c>
      <c r="D7" s="21">
        <f>K7+K8</f>
        <v>125000</v>
      </c>
      <c r="E7" s="21">
        <f>L7+L8</f>
        <v>650000</v>
      </c>
      <c r="F7" s="2">
        <v>1</v>
      </c>
      <c r="G7" s="22">
        <v>40100</v>
      </c>
      <c r="H7" s="23" t="s">
        <v>8</v>
      </c>
      <c r="I7" s="1"/>
      <c r="J7" s="24">
        <v>20000</v>
      </c>
      <c r="K7" s="24">
        <v>0</v>
      </c>
      <c r="L7" s="24">
        <v>50000</v>
      </c>
      <c r="M7" s="24">
        <v>100000</v>
      </c>
      <c r="N7" s="2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>
        <v>2</v>
      </c>
      <c r="B8" s="21">
        <f>J11</f>
        <v>0</v>
      </c>
      <c r="C8" s="21" t="e">
        <f>#REF!</f>
        <v>#REF!</v>
      </c>
      <c r="D8" s="21">
        <f>K11</f>
        <v>0</v>
      </c>
      <c r="E8" s="21">
        <f>L11</f>
        <v>0</v>
      </c>
      <c r="F8" s="2">
        <v>1</v>
      </c>
      <c r="G8" s="22">
        <v>40200</v>
      </c>
      <c r="H8" s="23" t="s">
        <v>9</v>
      </c>
      <c r="I8" s="1"/>
      <c r="J8" s="24">
        <v>150000</v>
      </c>
      <c r="K8" s="24">
        <v>125000</v>
      </c>
      <c r="L8" s="24">
        <v>600000</v>
      </c>
      <c r="M8" s="24">
        <v>1000000</v>
      </c>
      <c r="N8" s="2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>
        <v>3</v>
      </c>
      <c r="B9" s="21">
        <f>J13</f>
        <v>149</v>
      </c>
      <c r="C9" s="21" t="e">
        <f>#REF!</f>
        <v>#REF!</v>
      </c>
      <c r="D9" s="21">
        <f>K13</f>
        <v>2500</v>
      </c>
      <c r="E9" s="21">
        <f>L13</f>
        <v>9800</v>
      </c>
      <c r="F9" s="2"/>
      <c r="G9" s="22"/>
      <c r="H9" s="25" t="s">
        <v>10</v>
      </c>
      <c r="I9" s="1"/>
      <c r="J9" s="26">
        <f>SUM(J7:J8)</f>
        <v>170000</v>
      </c>
      <c r="K9" s="26">
        <f>SUM(K7:K8)</f>
        <v>125000</v>
      </c>
      <c r="L9" s="26">
        <f>SUM(L7:L8)</f>
        <v>650000</v>
      </c>
      <c r="M9" s="26">
        <f>SUM(M7:M8)</f>
        <v>1100000</v>
      </c>
      <c r="N9" s="2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hidden="1" customHeight="1" x14ac:dyDescent="0.15">
      <c r="A10" s="1"/>
      <c r="B10" s="1"/>
      <c r="C10" s="1"/>
      <c r="D10" s="1"/>
      <c r="E10" s="1"/>
      <c r="F10" s="2"/>
      <c r="G10" s="17">
        <v>46000</v>
      </c>
      <c r="H10" s="18" t="s">
        <v>11</v>
      </c>
      <c r="I10" s="1"/>
      <c r="J10" s="24">
        <v>0</v>
      </c>
      <c r="K10" s="24">
        <v>0</v>
      </c>
      <c r="L10" s="24">
        <v>0</v>
      </c>
      <c r="M10" s="24">
        <v>0</v>
      </c>
      <c r="N10" s="2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hidden="1" customHeight="1" x14ac:dyDescent="0.15">
      <c r="A11" s="1"/>
      <c r="B11" s="1"/>
      <c r="C11" s="1"/>
      <c r="D11" s="1"/>
      <c r="E11" s="1"/>
      <c r="F11" s="9">
        <v>2</v>
      </c>
      <c r="G11" s="22">
        <v>46100</v>
      </c>
      <c r="H11" s="23" t="s">
        <v>12</v>
      </c>
      <c r="I11" s="19">
        <v>2</v>
      </c>
      <c r="J11" s="26">
        <v>0</v>
      </c>
      <c r="K11" s="26">
        <v>0</v>
      </c>
      <c r="L11" s="26">
        <v>0</v>
      </c>
      <c r="M11" s="26">
        <v>0</v>
      </c>
      <c r="N11" s="2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9"/>
      <c r="G12" s="17">
        <v>48000</v>
      </c>
      <c r="H12" s="18" t="s">
        <v>13</v>
      </c>
      <c r="I12" s="19"/>
      <c r="J12" s="24"/>
      <c r="K12" s="24"/>
      <c r="L12" s="24"/>
      <c r="M12" s="24"/>
      <c r="N12" s="2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9">
        <v>3</v>
      </c>
      <c r="G13" s="22">
        <v>48100</v>
      </c>
      <c r="H13" s="23" t="s">
        <v>14</v>
      </c>
      <c r="I13" s="19">
        <v>3</v>
      </c>
      <c r="J13" s="26">
        <v>149</v>
      </c>
      <c r="K13" s="26">
        <v>2500</v>
      </c>
      <c r="L13" s="26">
        <v>9800</v>
      </c>
      <c r="M13" s="26">
        <v>14700</v>
      </c>
      <c r="N13" s="2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hidden="1" customHeight="1" x14ac:dyDescent="0.15">
      <c r="A14" s="1"/>
      <c r="B14" s="1"/>
      <c r="C14" s="1"/>
      <c r="D14" s="1"/>
      <c r="E14" s="1"/>
      <c r="F14" s="9">
        <v>4</v>
      </c>
      <c r="G14" s="22">
        <v>49500</v>
      </c>
      <c r="H14" s="27" t="s">
        <v>15</v>
      </c>
      <c r="I14" s="19">
        <v>4</v>
      </c>
      <c r="J14" s="28">
        <v>0</v>
      </c>
      <c r="K14" s="28">
        <v>0</v>
      </c>
      <c r="L14" s="28">
        <v>0</v>
      </c>
      <c r="M14" s="28">
        <v>0</v>
      </c>
      <c r="N14" s="2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hidden="1" customHeight="1" x14ac:dyDescent="0.15">
      <c r="A15" s="1">
        <v>4</v>
      </c>
      <c r="B15" s="21">
        <f>J14</f>
        <v>0</v>
      </c>
      <c r="C15" s="21" t="e">
        <f>#REF!</f>
        <v>#REF!</v>
      </c>
      <c r="D15" s="21">
        <f>K14</f>
        <v>0</v>
      </c>
      <c r="E15" s="21">
        <f>L14</f>
        <v>0</v>
      </c>
      <c r="F15" s="9"/>
      <c r="G15" s="17">
        <v>41000</v>
      </c>
      <c r="H15" s="18" t="s">
        <v>16</v>
      </c>
      <c r="I15" s="19">
        <v>7</v>
      </c>
      <c r="J15" s="26"/>
      <c r="K15" s="26"/>
      <c r="L15" s="26"/>
      <c r="M15" s="26"/>
      <c r="N15" s="2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hidden="1" customHeight="1" x14ac:dyDescent="0.15">
      <c r="A16" s="1">
        <v>9</v>
      </c>
      <c r="B16" s="21">
        <f>J18+J19+J20+J21+J22+J25+J26+J27+J28+J29+J32+J33</f>
        <v>0</v>
      </c>
      <c r="C16" s="21" t="e">
        <f>#REF!+#REF!+#REF!+#REF!+#REF!+#REF!+#REF!+#REF!+#REF!+#REF!+#REF!+#REF!</f>
        <v>#REF!</v>
      </c>
      <c r="D16" s="21">
        <f>K18+K19+K20+K21+K22+K25+K26+K27+K28+K29+K32+K33</f>
        <v>0</v>
      </c>
      <c r="E16" s="21">
        <f>L18+L19+L20+L21+L22+L25+L26+L27+L28+L29+L32+L33</f>
        <v>75000</v>
      </c>
      <c r="F16" s="9">
        <v>7</v>
      </c>
      <c r="G16" s="22">
        <v>41100</v>
      </c>
      <c r="H16" s="23" t="s">
        <v>17</v>
      </c>
      <c r="I16" s="1"/>
      <c r="J16" s="24">
        <v>0</v>
      </c>
      <c r="K16" s="24">
        <v>0</v>
      </c>
      <c r="L16" s="24">
        <v>0</v>
      </c>
      <c r="M16" s="24">
        <v>0</v>
      </c>
      <c r="N16" s="2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2">
        <v>9</v>
      </c>
      <c r="G17" s="17">
        <v>45000</v>
      </c>
      <c r="H17" s="18" t="s">
        <v>18</v>
      </c>
      <c r="I17" s="19"/>
      <c r="J17" s="24"/>
      <c r="K17" s="24"/>
      <c r="L17" s="24"/>
      <c r="M17" s="24"/>
      <c r="N17" s="2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2"/>
      <c r="G18" s="22">
        <v>45100</v>
      </c>
      <c r="H18" s="23" t="s">
        <v>19</v>
      </c>
      <c r="I18" s="1"/>
      <c r="J18" s="24">
        <v>0</v>
      </c>
      <c r="K18" s="24">
        <v>0</v>
      </c>
      <c r="L18" s="24">
        <v>50000</v>
      </c>
      <c r="M18" s="24">
        <v>130000</v>
      </c>
      <c r="N18" s="2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2"/>
      <c r="G19" s="22">
        <v>45200</v>
      </c>
      <c r="H19" s="23" t="s">
        <v>20</v>
      </c>
      <c r="I19" s="1"/>
      <c r="J19" s="24">
        <v>0</v>
      </c>
      <c r="K19" s="24">
        <v>0</v>
      </c>
      <c r="L19" s="24">
        <v>25000</v>
      </c>
      <c r="M19" s="24">
        <v>50000</v>
      </c>
      <c r="N19" s="2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2"/>
      <c r="G20" s="22">
        <v>45300</v>
      </c>
      <c r="H20" s="23" t="s">
        <v>21</v>
      </c>
      <c r="I20" s="1"/>
      <c r="J20" s="24">
        <v>0</v>
      </c>
      <c r="K20" s="24">
        <v>0</v>
      </c>
      <c r="L20" s="24">
        <v>0</v>
      </c>
      <c r="M20" s="24">
        <v>0</v>
      </c>
      <c r="N20" s="2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2"/>
      <c r="G21" s="22">
        <v>45400</v>
      </c>
      <c r="H21" s="23" t="s">
        <v>22</v>
      </c>
      <c r="I21" s="1"/>
      <c r="J21" s="24">
        <v>0</v>
      </c>
      <c r="K21" s="24">
        <v>0</v>
      </c>
      <c r="L21" s="24">
        <v>0</v>
      </c>
      <c r="M21" s="24">
        <v>0</v>
      </c>
      <c r="N21" s="2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2"/>
      <c r="G22" s="22">
        <v>45500</v>
      </c>
      <c r="H22" s="23" t="s">
        <v>23</v>
      </c>
      <c r="I22" s="1"/>
      <c r="J22" s="24">
        <v>0</v>
      </c>
      <c r="K22" s="24">
        <v>0</v>
      </c>
      <c r="L22" s="24">
        <v>0</v>
      </c>
      <c r="M22" s="24">
        <v>0</v>
      </c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.25" hidden="1" customHeight="1" x14ac:dyDescent="0.15">
      <c r="A23" s="1"/>
      <c r="B23" s="1"/>
      <c r="C23" s="1"/>
      <c r="D23" s="1"/>
      <c r="E23" s="1"/>
      <c r="F23" s="2"/>
      <c r="G23" s="22"/>
      <c r="H23" s="23"/>
      <c r="I23" s="1"/>
      <c r="J23" s="24"/>
      <c r="K23" s="24"/>
      <c r="L23" s="24"/>
      <c r="M23" s="24"/>
      <c r="N23" s="2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hidden="1" customHeight="1" x14ac:dyDescent="0.15">
      <c r="A24" s="1"/>
      <c r="B24" s="1"/>
      <c r="C24" s="1"/>
      <c r="D24" s="1"/>
      <c r="E24" s="1"/>
      <c r="F24" s="9"/>
      <c r="G24" s="17">
        <v>47000</v>
      </c>
      <c r="H24" s="18" t="s">
        <v>24</v>
      </c>
      <c r="I24" s="19"/>
      <c r="J24" s="24">
        <v>0</v>
      </c>
      <c r="K24" s="24">
        <v>0</v>
      </c>
      <c r="L24" s="24">
        <v>0</v>
      </c>
      <c r="M24" s="24">
        <v>0</v>
      </c>
      <c r="N24" s="2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hidden="1" customHeight="1" x14ac:dyDescent="0.15">
      <c r="A25" s="1"/>
      <c r="B25" s="1"/>
      <c r="C25" s="1"/>
      <c r="D25" s="1"/>
      <c r="E25" s="1"/>
      <c r="F25" s="2">
        <v>9</v>
      </c>
      <c r="G25" s="22">
        <v>47100</v>
      </c>
      <c r="H25" s="23" t="s">
        <v>25</v>
      </c>
      <c r="I25" s="1"/>
      <c r="J25" s="24">
        <v>0</v>
      </c>
      <c r="K25" s="24">
        <v>0</v>
      </c>
      <c r="L25" s="24">
        <v>0</v>
      </c>
      <c r="M25" s="24">
        <v>0</v>
      </c>
      <c r="N25" s="2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hidden="1" customHeight="1" x14ac:dyDescent="0.15">
      <c r="A26" s="1"/>
      <c r="B26" s="1"/>
      <c r="C26" s="1"/>
      <c r="D26" s="1"/>
      <c r="E26" s="1"/>
      <c r="F26" s="2">
        <v>9</v>
      </c>
      <c r="G26" s="22">
        <v>47200</v>
      </c>
      <c r="H26" s="23" t="s">
        <v>26</v>
      </c>
      <c r="I26" s="1"/>
      <c r="J26" s="24">
        <v>0</v>
      </c>
      <c r="K26" s="24">
        <v>0</v>
      </c>
      <c r="L26" s="24">
        <v>0</v>
      </c>
      <c r="M26" s="24">
        <v>0</v>
      </c>
      <c r="N26" s="2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hidden="1" customHeight="1" x14ac:dyDescent="0.15">
      <c r="A27" s="1"/>
      <c r="B27" s="1"/>
      <c r="C27" s="1"/>
      <c r="D27" s="1"/>
      <c r="E27" s="1"/>
      <c r="F27" s="2">
        <v>9</v>
      </c>
      <c r="G27" s="22">
        <v>47300</v>
      </c>
      <c r="H27" s="23" t="s">
        <v>27</v>
      </c>
      <c r="I27" s="1"/>
      <c r="J27" s="24">
        <v>0</v>
      </c>
      <c r="K27" s="24">
        <v>0</v>
      </c>
      <c r="L27" s="24">
        <v>0</v>
      </c>
      <c r="M27" s="24">
        <v>0</v>
      </c>
      <c r="N27" s="2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15">
      <c r="A28" s="1"/>
      <c r="B28" s="1"/>
      <c r="C28" s="1"/>
      <c r="D28" s="1"/>
      <c r="E28" s="1"/>
      <c r="F28" s="2">
        <v>9</v>
      </c>
      <c r="G28" s="22">
        <v>47400</v>
      </c>
      <c r="H28" s="23" t="s">
        <v>28</v>
      </c>
      <c r="I28" s="1"/>
      <c r="J28" s="24">
        <v>0</v>
      </c>
      <c r="K28" s="24">
        <v>0</v>
      </c>
      <c r="L28" s="24">
        <v>0</v>
      </c>
      <c r="M28" s="24">
        <v>0</v>
      </c>
      <c r="N28" s="2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15">
      <c r="A29" s="1"/>
      <c r="B29" s="1"/>
      <c r="C29" s="1"/>
      <c r="D29" s="1"/>
      <c r="E29" s="1"/>
      <c r="F29" s="2">
        <v>9</v>
      </c>
      <c r="G29" s="22">
        <v>47500</v>
      </c>
      <c r="H29" s="23" t="s">
        <v>29</v>
      </c>
      <c r="I29" s="1"/>
      <c r="J29" s="24">
        <v>0</v>
      </c>
      <c r="K29" s="24">
        <v>0</v>
      </c>
      <c r="L29" s="24">
        <v>0</v>
      </c>
      <c r="M29" s="24">
        <v>0</v>
      </c>
      <c r="N29" s="2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.75" hidden="1" customHeight="1" x14ac:dyDescent="0.15">
      <c r="A30" s="1"/>
      <c r="B30" s="1"/>
      <c r="C30" s="1"/>
      <c r="D30" s="1"/>
      <c r="E30" s="1"/>
      <c r="F30" s="29"/>
      <c r="G30" s="30"/>
      <c r="H30" s="31"/>
      <c r="I30" s="32"/>
      <c r="J30" s="24"/>
      <c r="K30" s="24"/>
      <c r="L30" s="24"/>
      <c r="M30" s="24"/>
      <c r="N30" s="2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hidden="1" customHeight="1" x14ac:dyDescent="0.15">
      <c r="A31" s="1"/>
      <c r="B31" s="1"/>
      <c r="C31" s="1"/>
      <c r="D31" s="1"/>
      <c r="E31" s="1"/>
      <c r="F31" s="9"/>
      <c r="G31" s="17">
        <v>49000</v>
      </c>
      <c r="H31" s="18" t="s">
        <v>30</v>
      </c>
      <c r="I31" s="19"/>
      <c r="J31" s="24">
        <v>0</v>
      </c>
      <c r="K31" s="24">
        <v>0</v>
      </c>
      <c r="L31" s="24">
        <v>0</v>
      </c>
      <c r="M31" s="24">
        <v>0</v>
      </c>
      <c r="N31" s="2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hidden="1" customHeight="1" x14ac:dyDescent="0.15">
      <c r="A32" s="1"/>
      <c r="B32" s="1"/>
      <c r="C32" s="1"/>
      <c r="D32" s="1"/>
      <c r="E32" s="1"/>
      <c r="F32" s="2">
        <v>9</v>
      </c>
      <c r="G32" s="22">
        <v>49100</v>
      </c>
      <c r="H32" s="23" t="s">
        <v>31</v>
      </c>
      <c r="I32" s="1"/>
      <c r="J32" s="24">
        <v>0</v>
      </c>
      <c r="K32" s="24">
        <v>0</v>
      </c>
      <c r="L32" s="24">
        <v>0</v>
      </c>
      <c r="M32" s="24">
        <v>0</v>
      </c>
      <c r="N32" s="2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hidden="1" customHeight="1" x14ac:dyDescent="0.15">
      <c r="A33" s="1"/>
      <c r="B33" s="1"/>
      <c r="C33" s="1"/>
      <c r="D33" s="1"/>
      <c r="E33" s="1"/>
      <c r="F33" s="2">
        <v>9</v>
      </c>
      <c r="G33" s="22">
        <v>49200</v>
      </c>
      <c r="H33" s="23" t="s">
        <v>32</v>
      </c>
      <c r="I33" s="1"/>
      <c r="J33" s="24">
        <v>0</v>
      </c>
      <c r="K33" s="24">
        <v>0</v>
      </c>
      <c r="L33" s="24">
        <v>0</v>
      </c>
      <c r="M33" s="24">
        <v>0</v>
      </c>
      <c r="N33" s="2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2"/>
      <c r="G34" s="16"/>
      <c r="H34" s="33" t="s">
        <v>33</v>
      </c>
      <c r="I34" s="1"/>
      <c r="J34" s="28">
        <f>SUM(J18:J33)</f>
        <v>0</v>
      </c>
      <c r="K34" s="28">
        <f>SUM(K18:K33)</f>
        <v>0</v>
      </c>
      <c r="L34" s="28">
        <f>SUM(L18:L33)</f>
        <v>75000</v>
      </c>
      <c r="M34" s="28">
        <f>SUM(M18:M33)</f>
        <v>180000</v>
      </c>
      <c r="N34" s="2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2">
        <v>13</v>
      </c>
      <c r="G35" s="34"/>
      <c r="H35" s="35" t="s">
        <v>34</v>
      </c>
      <c r="I35" s="36"/>
      <c r="J35" s="37">
        <f>J34+J16+J14+J13+J11+J9</f>
        <v>170149</v>
      </c>
      <c r="K35" s="37">
        <f>K34+K16+K14+K13+K11+K9</f>
        <v>127500</v>
      </c>
      <c r="L35" s="37">
        <f>L34+L16+L14+L13+L11+L9</f>
        <v>734800</v>
      </c>
      <c r="M35" s="37">
        <f>M34+M16+M14+M13+M11+M9</f>
        <v>1294700</v>
      </c>
      <c r="N35" s="3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 t="s">
        <v>35</v>
      </c>
      <c r="C36" s="1"/>
      <c r="D36" s="1"/>
      <c r="E36" s="1"/>
      <c r="F36" s="2"/>
      <c r="G36" s="1"/>
      <c r="H36" s="1"/>
      <c r="I36" s="1"/>
      <c r="J36" s="38"/>
      <c r="K36" s="38"/>
      <c r="L36" s="38"/>
      <c r="M36" s="38"/>
      <c r="N36" s="3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2"/>
      <c r="G37" s="39"/>
      <c r="H37" s="39" t="s">
        <v>36</v>
      </c>
      <c r="I37" s="1"/>
      <c r="J37" s="38"/>
      <c r="K37" s="38"/>
      <c r="L37" s="38"/>
      <c r="M37" s="38"/>
      <c r="N37" s="3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2"/>
      <c r="G38" s="1"/>
      <c r="H38" s="1"/>
      <c r="I38" s="1"/>
      <c r="J38" s="38"/>
      <c r="K38" s="38"/>
      <c r="L38" s="38"/>
      <c r="M38" s="38"/>
      <c r="N38" s="3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hidden="1" customHeight="1" x14ac:dyDescent="0.15">
      <c r="A39" s="1"/>
      <c r="B39" s="1"/>
      <c r="C39" s="1"/>
      <c r="D39" s="1"/>
      <c r="E39" s="1"/>
      <c r="F39" s="2"/>
      <c r="G39" s="17">
        <v>70000</v>
      </c>
      <c r="H39" s="18" t="s">
        <v>37</v>
      </c>
      <c r="I39" s="1"/>
      <c r="J39" s="24"/>
      <c r="K39" s="24"/>
      <c r="L39" s="24"/>
      <c r="M39" s="24"/>
      <c r="N39" s="2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hidden="1" customHeight="1" x14ac:dyDescent="0.15">
      <c r="A40" s="1"/>
      <c r="B40" s="1"/>
      <c r="C40" s="1"/>
      <c r="D40" s="1"/>
      <c r="E40" s="1"/>
      <c r="F40" s="2">
        <v>14</v>
      </c>
      <c r="G40" s="40">
        <v>71000</v>
      </c>
      <c r="H40" s="23" t="s">
        <v>38</v>
      </c>
      <c r="I40" s="1"/>
      <c r="J40" s="24">
        <v>0</v>
      </c>
      <c r="K40" s="24">
        <v>0</v>
      </c>
      <c r="L40" s="24">
        <v>0</v>
      </c>
      <c r="M40" s="24">
        <v>0</v>
      </c>
      <c r="N40" s="2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hidden="1" customHeight="1" x14ac:dyDescent="0.15">
      <c r="A41" s="1"/>
      <c r="B41" s="1"/>
      <c r="C41" s="1"/>
      <c r="D41" s="1"/>
      <c r="E41" s="1"/>
      <c r="F41" s="2">
        <v>14</v>
      </c>
      <c r="G41" s="22">
        <v>71100</v>
      </c>
      <c r="H41" s="23" t="s">
        <v>39</v>
      </c>
      <c r="I41" s="1"/>
      <c r="J41" s="24">
        <v>0</v>
      </c>
      <c r="K41" s="24">
        <v>0</v>
      </c>
      <c r="L41" s="24">
        <v>0</v>
      </c>
      <c r="M41" s="24">
        <v>0</v>
      </c>
      <c r="N41" s="2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hidden="1" customHeight="1" x14ac:dyDescent="0.15">
      <c r="A42" s="1"/>
      <c r="B42" s="1"/>
      <c r="C42" s="1"/>
      <c r="D42" s="1"/>
      <c r="E42" s="1"/>
      <c r="F42" s="2">
        <v>14</v>
      </c>
      <c r="G42" s="22">
        <v>71200</v>
      </c>
      <c r="H42" s="41" t="s">
        <v>40</v>
      </c>
      <c r="I42" s="1"/>
      <c r="J42" s="24">
        <v>0</v>
      </c>
      <c r="K42" s="24">
        <v>0</v>
      </c>
      <c r="L42" s="24">
        <v>0</v>
      </c>
      <c r="M42" s="24">
        <v>0</v>
      </c>
      <c r="N42" s="2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hidden="1" customHeight="1" x14ac:dyDescent="0.15">
      <c r="A43" s="1"/>
      <c r="B43" s="1"/>
      <c r="C43" s="1"/>
      <c r="D43" s="1"/>
      <c r="E43" s="1"/>
      <c r="F43" s="2">
        <v>14</v>
      </c>
      <c r="G43" s="22">
        <v>71300</v>
      </c>
      <c r="H43" s="23" t="s">
        <v>41</v>
      </c>
      <c r="I43" s="1"/>
      <c r="J43" s="24">
        <v>0</v>
      </c>
      <c r="K43" s="24">
        <v>0</v>
      </c>
      <c r="L43" s="24">
        <v>0</v>
      </c>
      <c r="M43" s="24">
        <v>0</v>
      </c>
      <c r="N43" s="2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hidden="1" customHeight="1" x14ac:dyDescent="0.15">
      <c r="A44" s="1"/>
      <c r="B44" s="1"/>
      <c r="C44" s="1"/>
      <c r="D44" s="1"/>
      <c r="E44" s="1"/>
      <c r="F44" s="2">
        <v>14</v>
      </c>
      <c r="G44" s="22">
        <v>71400</v>
      </c>
      <c r="H44" s="23" t="s">
        <v>42</v>
      </c>
      <c r="I44" s="1"/>
      <c r="J44" s="24">
        <v>0</v>
      </c>
      <c r="K44" s="24">
        <v>0</v>
      </c>
      <c r="L44" s="24">
        <v>0</v>
      </c>
      <c r="M44" s="24">
        <v>0</v>
      </c>
      <c r="N44" s="2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hidden="1" customHeight="1" x14ac:dyDescent="0.15">
      <c r="A45" s="1"/>
      <c r="B45" s="1"/>
      <c r="C45" s="1"/>
      <c r="D45" s="1"/>
      <c r="E45" s="1"/>
      <c r="F45" s="2">
        <v>14</v>
      </c>
      <c r="G45" s="22">
        <v>71500</v>
      </c>
      <c r="H45" s="23" t="s">
        <v>43</v>
      </c>
      <c r="I45" s="1"/>
      <c r="J45" s="24">
        <v>0</v>
      </c>
      <c r="K45" s="24">
        <v>0</v>
      </c>
      <c r="L45" s="24">
        <v>0</v>
      </c>
      <c r="M45" s="24">
        <v>0</v>
      </c>
      <c r="N45" s="2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.25" hidden="1" customHeight="1" x14ac:dyDescent="0.15">
      <c r="A46" s="1"/>
      <c r="B46" s="1"/>
      <c r="C46" s="1"/>
      <c r="D46" s="1"/>
      <c r="E46" s="1"/>
      <c r="F46" s="2"/>
      <c r="G46" s="22"/>
      <c r="H46" s="27"/>
      <c r="I46" s="1"/>
      <c r="J46" s="42"/>
      <c r="K46" s="42"/>
      <c r="L46" s="42"/>
      <c r="M46" s="42"/>
      <c r="N46" s="4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hidden="1" customHeight="1" x14ac:dyDescent="0.15">
      <c r="A47" s="1"/>
      <c r="B47" s="1"/>
      <c r="C47" s="1"/>
      <c r="D47" s="1"/>
      <c r="E47" s="1"/>
      <c r="F47" s="2">
        <v>14</v>
      </c>
      <c r="G47" s="22">
        <v>72000</v>
      </c>
      <c r="H47" s="23" t="s">
        <v>44</v>
      </c>
      <c r="I47" s="1"/>
      <c r="J47" s="42">
        <v>0</v>
      </c>
      <c r="K47" s="42">
        <v>0</v>
      </c>
      <c r="L47" s="42">
        <v>0</v>
      </c>
      <c r="M47" s="42">
        <v>0</v>
      </c>
      <c r="N47" s="4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hidden="1" customHeight="1" x14ac:dyDescent="0.15">
      <c r="A48" s="1"/>
      <c r="B48" s="1"/>
      <c r="C48" s="1"/>
      <c r="D48" s="1"/>
      <c r="E48" s="1"/>
      <c r="F48" s="2">
        <v>14</v>
      </c>
      <c r="G48" s="16">
        <v>72100</v>
      </c>
      <c r="H48" s="23" t="s">
        <v>45</v>
      </c>
      <c r="I48" s="1"/>
      <c r="J48" s="42">
        <v>0</v>
      </c>
      <c r="K48" s="42">
        <v>0</v>
      </c>
      <c r="L48" s="42">
        <v>0</v>
      </c>
      <c r="M48" s="42">
        <v>0</v>
      </c>
      <c r="N48" s="4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hidden="1" customHeight="1" x14ac:dyDescent="0.15">
      <c r="A49" s="1"/>
      <c r="B49" s="1"/>
      <c r="C49" s="1"/>
      <c r="D49" s="1"/>
      <c r="E49" s="1"/>
      <c r="F49" s="2">
        <v>14</v>
      </c>
      <c r="G49" s="16">
        <v>72200</v>
      </c>
      <c r="H49" s="41" t="s">
        <v>46</v>
      </c>
      <c r="I49" s="1"/>
      <c r="J49" s="42">
        <v>0</v>
      </c>
      <c r="K49" s="42">
        <v>0</v>
      </c>
      <c r="L49" s="42">
        <v>0</v>
      </c>
      <c r="M49" s="42">
        <v>0</v>
      </c>
      <c r="N49" s="4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hidden="1" customHeight="1" x14ac:dyDescent="0.15">
      <c r="A50" s="1"/>
      <c r="B50" s="1"/>
      <c r="C50" s="1"/>
      <c r="D50" s="1"/>
      <c r="E50" s="1"/>
      <c r="F50" s="2">
        <v>14</v>
      </c>
      <c r="G50" s="16">
        <v>72300</v>
      </c>
      <c r="H50" s="23" t="s">
        <v>47</v>
      </c>
      <c r="I50" s="1"/>
      <c r="J50" s="42">
        <v>0</v>
      </c>
      <c r="K50" s="42">
        <v>0</v>
      </c>
      <c r="L50" s="42">
        <v>0</v>
      </c>
      <c r="M50" s="42">
        <v>0</v>
      </c>
      <c r="N50" s="4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hidden="1" customHeight="1" x14ac:dyDescent="0.15">
      <c r="A51" s="1"/>
      <c r="B51" s="1"/>
      <c r="C51" s="1"/>
      <c r="D51" s="1"/>
      <c r="E51" s="1"/>
      <c r="F51" s="2">
        <v>14</v>
      </c>
      <c r="G51" s="16">
        <v>72400</v>
      </c>
      <c r="H51" s="23" t="s">
        <v>48</v>
      </c>
      <c r="I51" s="1"/>
      <c r="J51" s="42">
        <v>0</v>
      </c>
      <c r="K51" s="42">
        <v>0</v>
      </c>
      <c r="L51" s="42">
        <v>0</v>
      </c>
      <c r="M51" s="42">
        <v>0</v>
      </c>
      <c r="N51" s="4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hidden="1" customHeight="1" x14ac:dyDescent="0.15">
      <c r="A52" s="1"/>
      <c r="B52" s="1"/>
      <c r="C52" s="1"/>
      <c r="D52" s="1"/>
      <c r="E52" s="1"/>
      <c r="F52" s="2">
        <v>14</v>
      </c>
      <c r="G52" s="16">
        <v>72500</v>
      </c>
      <c r="H52" s="23" t="s">
        <v>49</v>
      </c>
      <c r="I52" s="1"/>
      <c r="J52" s="42">
        <v>0</v>
      </c>
      <c r="K52" s="42">
        <v>0</v>
      </c>
      <c r="L52" s="42">
        <v>0</v>
      </c>
      <c r="M52" s="42">
        <v>0</v>
      </c>
      <c r="N52" s="4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" hidden="1" customHeight="1" x14ac:dyDescent="0.15">
      <c r="A53" s="1"/>
      <c r="B53" s="1"/>
      <c r="C53" s="1"/>
      <c r="D53" s="1"/>
      <c r="E53" s="1"/>
      <c r="F53" s="2"/>
      <c r="G53" s="16"/>
      <c r="H53" s="23"/>
      <c r="I53" s="1"/>
      <c r="J53" s="42"/>
      <c r="K53" s="42"/>
      <c r="L53" s="42"/>
      <c r="M53" s="42"/>
      <c r="N53" s="4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hidden="1" customHeight="1" x14ac:dyDescent="0.15">
      <c r="A54" s="1"/>
      <c r="B54" s="1"/>
      <c r="C54" s="1"/>
      <c r="D54" s="1"/>
      <c r="E54" s="1"/>
      <c r="F54" s="2">
        <v>14</v>
      </c>
      <c r="G54" s="16">
        <v>73000</v>
      </c>
      <c r="H54" s="23" t="s">
        <v>50</v>
      </c>
      <c r="I54" s="1"/>
      <c r="J54" s="42">
        <v>0</v>
      </c>
      <c r="K54" s="42">
        <v>0</v>
      </c>
      <c r="L54" s="42">
        <v>0</v>
      </c>
      <c r="M54" s="42">
        <v>0</v>
      </c>
      <c r="N54" s="4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hidden="1" customHeight="1" x14ac:dyDescent="0.15">
      <c r="A55" s="1"/>
      <c r="B55" s="1"/>
      <c r="C55" s="1"/>
      <c r="D55" s="1"/>
      <c r="E55" s="1"/>
      <c r="F55" s="2">
        <v>14</v>
      </c>
      <c r="G55" s="16">
        <v>73100</v>
      </c>
      <c r="H55" s="23" t="s">
        <v>51</v>
      </c>
      <c r="I55" s="1"/>
      <c r="J55" s="42">
        <v>0</v>
      </c>
      <c r="K55" s="42">
        <v>0</v>
      </c>
      <c r="L55" s="42">
        <v>0</v>
      </c>
      <c r="M55" s="42">
        <v>0</v>
      </c>
      <c r="N55" s="4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hidden="1" customHeight="1" x14ac:dyDescent="0.15">
      <c r="A56" s="1"/>
      <c r="B56" s="1"/>
      <c r="C56" s="1"/>
      <c r="D56" s="1"/>
      <c r="E56" s="1"/>
      <c r="F56" s="2">
        <v>14</v>
      </c>
      <c r="G56" s="16">
        <v>73200</v>
      </c>
      <c r="H56" s="41" t="s">
        <v>52</v>
      </c>
      <c r="I56" s="1"/>
      <c r="J56" s="42">
        <v>0</v>
      </c>
      <c r="K56" s="42">
        <v>0</v>
      </c>
      <c r="L56" s="42">
        <v>0</v>
      </c>
      <c r="M56" s="42">
        <v>0</v>
      </c>
      <c r="N56" s="4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hidden="1" customHeight="1" x14ac:dyDescent="0.15">
      <c r="A57" s="1"/>
      <c r="B57" s="1"/>
      <c r="C57" s="1"/>
      <c r="D57" s="1"/>
      <c r="E57" s="1"/>
      <c r="F57" s="2">
        <v>14</v>
      </c>
      <c r="G57" s="16">
        <v>73300</v>
      </c>
      <c r="H57" s="23" t="s">
        <v>53</v>
      </c>
      <c r="I57" s="1"/>
      <c r="J57" s="42">
        <v>0</v>
      </c>
      <c r="K57" s="42">
        <v>0</v>
      </c>
      <c r="L57" s="42">
        <v>0</v>
      </c>
      <c r="M57" s="42">
        <v>0</v>
      </c>
      <c r="N57" s="4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hidden="1" customHeight="1" x14ac:dyDescent="0.15">
      <c r="A58" s="1"/>
      <c r="B58" s="1"/>
      <c r="C58" s="1"/>
      <c r="D58" s="1"/>
      <c r="E58" s="1"/>
      <c r="F58" s="2">
        <v>14</v>
      </c>
      <c r="G58" s="16">
        <v>73400</v>
      </c>
      <c r="H58" s="23" t="s">
        <v>54</v>
      </c>
      <c r="I58" s="1"/>
      <c r="J58" s="42">
        <v>0</v>
      </c>
      <c r="K58" s="42">
        <v>0</v>
      </c>
      <c r="L58" s="42">
        <v>0</v>
      </c>
      <c r="M58" s="42">
        <v>0</v>
      </c>
      <c r="N58" s="4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hidden="1" customHeight="1" x14ac:dyDescent="0.15">
      <c r="A59" s="1"/>
      <c r="B59" s="1"/>
      <c r="C59" s="1"/>
      <c r="D59" s="1"/>
      <c r="E59" s="1"/>
      <c r="F59" s="2">
        <v>14</v>
      </c>
      <c r="G59" s="16">
        <v>73500</v>
      </c>
      <c r="H59" s="23" t="s">
        <v>55</v>
      </c>
      <c r="I59" s="1"/>
      <c r="J59" s="42">
        <v>0</v>
      </c>
      <c r="K59" s="42">
        <v>0</v>
      </c>
      <c r="L59" s="42">
        <v>0</v>
      </c>
      <c r="M59" s="42">
        <v>0</v>
      </c>
      <c r="N59" s="4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hidden="1" customHeight="1" x14ac:dyDescent="0.15">
      <c r="A60" s="1"/>
      <c r="B60" s="1"/>
      <c r="C60" s="1"/>
      <c r="D60" s="1"/>
      <c r="E60" s="1"/>
      <c r="F60" s="2"/>
      <c r="G60" s="16"/>
      <c r="H60" s="25" t="s">
        <v>56</v>
      </c>
      <c r="I60" s="1"/>
      <c r="J60" s="28">
        <f>SUM(J40:J59)</f>
        <v>0</v>
      </c>
      <c r="K60" s="28">
        <f>SUM(K40:K59)</f>
        <v>0</v>
      </c>
      <c r="L60" s="28">
        <f>SUM(L40:L59)</f>
        <v>0</v>
      </c>
      <c r="M60" s="28">
        <f>SUM(M40:M59)</f>
        <v>0</v>
      </c>
      <c r="N60" s="2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hidden="1" customHeight="1" x14ac:dyDescent="0.15">
      <c r="A61" s="1">
        <v>14</v>
      </c>
      <c r="B61" s="21" t="e">
        <f>SUM(#REF!)</f>
        <v>#REF!</v>
      </c>
      <c r="C61" s="21" t="e">
        <f>SUM(#REF!)</f>
        <v>#REF!</v>
      </c>
      <c r="D61" s="21" t="e">
        <f>SUM(#REF!)</f>
        <v>#REF!</v>
      </c>
      <c r="E61" s="21" t="e">
        <f>SUM(#REF!)</f>
        <v>#REF!</v>
      </c>
      <c r="F61" s="43"/>
      <c r="G61" s="17">
        <v>50000</v>
      </c>
      <c r="H61" s="18" t="s">
        <v>57</v>
      </c>
      <c r="I61" s="44"/>
      <c r="J61" s="24">
        <v>0</v>
      </c>
      <c r="K61" s="24">
        <v>0</v>
      </c>
      <c r="L61" s="24">
        <v>0</v>
      </c>
      <c r="M61" s="24">
        <v>0</v>
      </c>
      <c r="N61" s="2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hidden="1" customHeight="1" x14ac:dyDescent="0.15">
      <c r="A62" s="1">
        <v>15</v>
      </c>
      <c r="B62" s="21">
        <f>J62:J66</f>
        <v>0</v>
      </c>
      <c r="C62" s="21" t="e">
        <f>#REF!</f>
        <v>#REF!</v>
      </c>
      <c r="D62" s="21">
        <f>K62:K66</f>
        <v>0</v>
      </c>
      <c r="E62" s="21">
        <f>L62:L66</f>
        <v>0</v>
      </c>
      <c r="F62" s="29">
        <v>15</v>
      </c>
      <c r="G62" s="22">
        <v>50100</v>
      </c>
      <c r="H62" s="23" t="s">
        <v>58</v>
      </c>
      <c r="I62" s="32"/>
      <c r="J62" s="24">
        <v>0</v>
      </c>
      <c r="K62" s="24">
        <v>0</v>
      </c>
      <c r="L62" s="24">
        <v>0</v>
      </c>
      <c r="M62" s="24">
        <v>0</v>
      </c>
      <c r="N62" s="2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hidden="1" customHeight="1" x14ac:dyDescent="0.15">
      <c r="A63" s="1">
        <v>16</v>
      </c>
      <c r="B63" s="21">
        <f>J68</f>
        <v>0</v>
      </c>
      <c r="C63" s="21" t="e">
        <f>#REF!</f>
        <v>#REF!</v>
      </c>
      <c r="D63" s="21">
        <f>K68</f>
        <v>0</v>
      </c>
      <c r="E63" s="21">
        <f>L68</f>
        <v>0</v>
      </c>
      <c r="F63" s="29">
        <v>15</v>
      </c>
      <c r="G63" s="22">
        <v>50200</v>
      </c>
      <c r="H63" s="23" t="s">
        <v>59</v>
      </c>
      <c r="I63" s="32"/>
      <c r="J63" s="24">
        <v>0</v>
      </c>
      <c r="K63" s="24">
        <v>0</v>
      </c>
      <c r="L63" s="24">
        <v>0</v>
      </c>
      <c r="M63" s="24">
        <v>0</v>
      </c>
      <c r="N63" s="2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hidden="1" customHeight="1" x14ac:dyDescent="0.15">
      <c r="A64" s="1">
        <v>17</v>
      </c>
      <c r="B64" s="21">
        <f>J71+J72</f>
        <v>0</v>
      </c>
      <c r="C64" s="21" t="e">
        <f>#REF!+#REF!</f>
        <v>#REF!</v>
      </c>
      <c r="D64" s="21">
        <f>K71+K72</f>
        <v>25000</v>
      </c>
      <c r="E64" s="21">
        <f>L71+L72</f>
        <v>457700</v>
      </c>
      <c r="F64" s="29">
        <v>15</v>
      </c>
      <c r="G64" s="22">
        <v>50300</v>
      </c>
      <c r="H64" s="23" t="s">
        <v>60</v>
      </c>
      <c r="I64" s="32"/>
      <c r="J64" s="24">
        <v>0</v>
      </c>
      <c r="K64" s="24">
        <v>0</v>
      </c>
      <c r="L64" s="24">
        <v>0</v>
      </c>
      <c r="M64" s="24">
        <v>0</v>
      </c>
      <c r="N64" s="2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hidden="1" customHeight="1" x14ac:dyDescent="0.15">
      <c r="A65" s="1">
        <v>18</v>
      </c>
      <c r="B65" s="21">
        <f>J74+J75</f>
        <v>0</v>
      </c>
      <c r="C65" s="21" t="e">
        <f>#REF!+#REF!</f>
        <v>#REF!</v>
      </c>
      <c r="D65" s="21">
        <f>K74+K75</f>
        <v>0</v>
      </c>
      <c r="E65" s="21">
        <f>L74+L75</f>
        <v>0</v>
      </c>
      <c r="F65" s="29">
        <v>15</v>
      </c>
      <c r="G65" s="22">
        <v>50400</v>
      </c>
      <c r="H65" s="23" t="s">
        <v>61</v>
      </c>
      <c r="I65" s="32"/>
      <c r="J65" s="24">
        <v>0</v>
      </c>
      <c r="K65" s="24">
        <v>0</v>
      </c>
      <c r="L65" s="24">
        <v>0</v>
      </c>
      <c r="M65" s="24">
        <v>0</v>
      </c>
      <c r="N65" s="2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hidden="1" customHeight="1" x14ac:dyDescent="0.15">
      <c r="A66" s="1">
        <v>20</v>
      </c>
      <c r="B66" s="21">
        <f>J78+J79+J80+J81+J82+J83</f>
        <v>0</v>
      </c>
      <c r="C66" s="21" t="e">
        <f>#REF!+#REF!+#REF!+#REF!+#REF!+#REF!</f>
        <v>#REF!</v>
      </c>
      <c r="D66" s="21">
        <f>K78+K79+K80+K81+K82+K83</f>
        <v>0</v>
      </c>
      <c r="E66" s="21">
        <f>L78+L79+L80+L81+L82+L83</f>
        <v>0</v>
      </c>
      <c r="F66" s="29">
        <v>15</v>
      </c>
      <c r="G66" s="22">
        <v>50500</v>
      </c>
      <c r="H66" s="45" t="s">
        <v>62</v>
      </c>
      <c r="I66" s="32"/>
      <c r="J66" s="24">
        <v>0</v>
      </c>
      <c r="K66" s="24">
        <v>0</v>
      </c>
      <c r="L66" s="24">
        <v>0</v>
      </c>
      <c r="M66" s="24">
        <v>0</v>
      </c>
      <c r="N66" s="2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hidden="1" customHeight="1" x14ac:dyDescent="0.15">
      <c r="A67" s="1"/>
      <c r="B67" s="21"/>
      <c r="C67" s="21"/>
      <c r="D67" s="21"/>
      <c r="E67" s="21"/>
      <c r="F67" s="29"/>
      <c r="G67" s="22"/>
      <c r="H67" s="46" t="s">
        <v>63</v>
      </c>
      <c r="I67" s="32"/>
      <c r="J67" s="26">
        <f>SUM(J62:J66)</f>
        <v>0</v>
      </c>
      <c r="K67" s="26">
        <f>SUM(K62:K66)</f>
        <v>0</v>
      </c>
      <c r="L67" s="26">
        <f>SUM(L62:L66)</f>
        <v>0</v>
      </c>
      <c r="M67" s="26">
        <f>SUM(M62:M66)</f>
        <v>0</v>
      </c>
      <c r="N67" s="2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hidden="1" customHeight="1" x14ac:dyDescent="0.15">
      <c r="A68" s="1"/>
      <c r="B68" s="21"/>
      <c r="C68" s="21"/>
      <c r="D68" s="21"/>
      <c r="E68" s="21"/>
      <c r="F68" s="29">
        <v>16</v>
      </c>
      <c r="G68" s="22">
        <v>50600</v>
      </c>
      <c r="H68" s="23" t="s">
        <v>64</v>
      </c>
      <c r="I68" s="32"/>
      <c r="J68" s="24">
        <v>0</v>
      </c>
      <c r="K68" s="24">
        <v>0</v>
      </c>
      <c r="L68" s="24">
        <v>0</v>
      </c>
      <c r="M68" s="24">
        <v>0</v>
      </c>
      <c r="N68" s="2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hidden="1" customHeight="1" x14ac:dyDescent="0.15">
      <c r="A69" s="1">
        <v>22</v>
      </c>
      <c r="B69" s="21">
        <f>J86+J87+J88+J89+J90</f>
        <v>17172.22</v>
      </c>
      <c r="C69" s="21" t="e">
        <f>#REF!+#REF!+#REF!+#REF!+#REF!</f>
        <v>#REF!</v>
      </c>
      <c r="D69" s="21">
        <f>K86+K87+K88+K89+K90</f>
        <v>104200</v>
      </c>
      <c r="E69" s="21">
        <f>L86+L87+L88+L89+L90</f>
        <v>298000</v>
      </c>
      <c r="F69" s="29"/>
      <c r="G69" s="22"/>
      <c r="H69" s="46" t="s">
        <v>65</v>
      </c>
      <c r="I69" s="32"/>
      <c r="J69" s="26">
        <f>J68</f>
        <v>0</v>
      </c>
      <c r="K69" s="26">
        <f>K68</f>
        <v>0</v>
      </c>
      <c r="L69" s="26">
        <f>L68</f>
        <v>0</v>
      </c>
      <c r="M69" s="26">
        <f>M68</f>
        <v>0</v>
      </c>
      <c r="N69" s="2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>
        <v>23</v>
      </c>
      <c r="B70" s="21" t="e">
        <f>J135+J136+J121+J92+J93+J95+J96+J97+J98+J99+J100+J101+J102+J103+J105+J106+J108+J107+J110+J111+J112+J114+J115+J116+J117+J118+J119+J120+J122+J123+J125+#REF!+J126+J127+J129+J130+J131+J132+J133+J134</f>
        <v>#REF!</v>
      </c>
      <c r="C70" s="21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1" t="e">
        <f>K135+K136+K121+K92+K93+K95+K96+K97+K98+K99+K100+K101+K102+K103+K105+K106+K108+K107+K110+K111+K112+K114+K115+K116+K117+K118+K119+K120+K122+K123+K125+#REF!+K126+K127+K129+K130+K131+K132+K133+K134</f>
        <v>#REF!</v>
      </c>
      <c r="E70" s="21" t="e">
        <f>L135+L136+L121+L92+L93+L95+L96+L97+L98+L99+L100+L101+L102+L103+L105+L106+L108+L107+L110+L111+L112+L114+L115+L116+L117+L118+L119+L120+L122+L123+L125+#REF!+L126+L127+L129+L130+L131+L132+L133+L134</f>
        <v>#REF!</v>
      </c>
      <c r="F70" s="2"/>
      <c r="G70" s="17">
        <v>51000</v>
      </c>
      <c r="H70" s="18" t="s">
        <v>66</v>
      </c>
      <c r="I70" s="1"/>
      <c r="J70" s="24"/>
      <c r="K70" s="24"/>
      <c r="L70" s="24"/>
      <c r="M70" s="24"/>
      <c r="N70" s="2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2">
        <v>17</v>
      </c>
      <c r="G71" s="22">
        <v>51100</v>
      </c>
      <c r="H71" s="23" t="s">
        <v>67</v>
      </c>
      <c r="I71" s="1"/>
      <c r="J71" s="24">
        <v>0</v>
      </c>
      <c r="K71" s="24">
        <v>25000</v>
      </c>
      <c r="L71" s="24">
        <v>398000</v>
      </c>
      <c r="M71" s="24">
        <v>548000</v>
      </c>
      <c r="N71" s="24"/>
      <c r="O71" s="9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2">
        <v>17</v>
      </c>
      <c r="G72" s="22">
        <v>51400</v>
      </c>
      <c r="H72" s="23" t="s">
        <v>68</v>
      </c>
      <c r="I72" s="1"/>
      <c r="J72" s="24">
        <v>0</v>
      </c>
      <c r="K72" s="24">
        <v>0</v>
      </c>
      <c r="L72" s="24">
        <v>59700</v>
      </c>
      <c r="M72" s="24">
        <v>82200</v>
      </c>
      <c r="N72" s="2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2"/>
      <c r="G73" s="22"/>
      <c r="H73" s="25" t="s">
        <v>69</v>
      </c>
      <c r="I73" s="1"/>
      <c r="J73" s="26">
        <f>SUM(J71:J72)</f>
        <v>0</v>
      </c>
      <c r="K73" s="26"/>
      <c r="L73" s="26"/>
      <c r="M73" s="26"/>
      <c r="N73" s="2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2">
        <v>18</v>
      </c>
      <c r="G74" s="22">
        <v>51200</v>
      </c>
      <c r="H74" s="23" t="s">
        <v>70</v>
      </c>
      <c r="I74" s="1"/>
      <c r="J74" s="24">
        <v>0</v>
      </c>
      <c r="K74" s="24">
        <v>0</v>
      </c>
      <c r="L74" s="24">
        <v>0</v>
      </c>
      <c r="M74" s="24">
        <v>0</v>
      </c>
      <c r="N74" s="2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2">
        <v>18</v>
      </c>
      <c r="G75" s="22">
        <v>51450</v>
      </c>
      <c r="H75" s="23" t="s">
        <v>71</v>
      </c>
      <c r="I75" s="1"/>
      <c r="J75" s="24">
        <v>0</v>
      </c>
      <c r="K75" s="24">
        <v>0</v>
      </c>
      <c r="L75" s="24">
        <v>0</v>
      </c>
      <c r="M75" s="24">
        <v>0</v>
      </c>
      <c r="N75" s="2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" customHeight="1" x14ac:dyDescent="0.15">
      <c r="A76" s="1"/>
      <c r="B76" s="1"/>
      <c r="C76" s="1"/>
      <c r="D76" s="1"/>
      <c r="E76" s="1"/>
      <c r="F76" s="2"/>
      <c r="G76" s="1"/>
      <c r="H76" s="25" t="s">
        <v>72</v>
      </c>
      <c r="I76" s="1"/>
      <c r="J76" s="26">
        <f>SUM(J74:J75)</f>
        <v>0</v>
      </c>
      <c r="K76" s="26">
        <f>SUM(K74:K75)</f>
        <v>0</v>
      </c>
      <c r="L76" s="26">
        <f>SUM(L74:L75)</f>
        <v>0</v>
      </c>
      <c r="M76" s="26">
        <f>SUM(M74:M75)</f>
        <v>0</v>
      </c>
      <c r="N76" s="2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hidden="1" customHeight="1" x14ac:dyDescent="0.15">
      <c r="A77" s="1"/>
      <c r="B77" s="1"/>
      <c r="C77" s="1"/>
      <c r="D77" s="1"/>
      <c r="E77" s="1"/>
      <c r="F77" s="2"/>
      <c r="G77" s="17">
        <v>54000</v>
      </c>
      <c r="H77" s="18" t="s">
        <v>73</v>
      </c>
      <c r="I77" s="1"/>
      <c r="J77" s="24">
        <v>0</v>
      </c>
      <c r="K77" s="24">
        <v>0</v>
      </c>
      <c r="L77" s="24">
        <v>0</v>
      </c>
      <c r="M77" s="24">
        <v>0</v>
      </c>
      <c r="N77" s="2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hidden="1" customHeight="1" x14ac:dyDescent="0.15">
      <c r="A78" s="1"/>
      <c r="B78" s="1"/>
      <c r="C78" s="1"/>
      <c r="D78" s="1"/>
      <c r="E78" s="1"/>
      <c r="F78" s="2">
        <v>20</v>
      </c>
      <c r="G78" s="22">
        <v>54100</v>
      </c>
      <c r="H78" s="23" t="s">
        <v>74</v>
      </c>
      <c r="I78" s="1"/>
      <c r="J78" s="24">
        <v>0</v>
      </c>
      <c r="K78" s="24">
        <v>0</v>
      </c>
      <c r="L78" s="24">
        <v>0</v>
      </c>
      <c r="M78" s="24">
        <v>0</v>
      </c>
      <c r="N78" s="2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hidden="1" customHeight="1" x14ac:dyDescent="0.15">
      <c r="A79" s="1"/>
      <c r="B79" s="1"/>
      <c r="C79" s="1"/>
      <c r="D79" s="1"/>
      <c r="E79" s="1"/>
      <c r="F79" s="2">
        <v>20</v>
      </c>
      <c r="G79" s="22">
        <v>54200</v>
      </c>
      <c r="H79" s="23" t="s">
        <v>75</v>
      </c>
      <c r="I79" s="1"/>
      <c r="J79" s="24">
        <v>0</v>
      </c>
      <c r="K79" s="24">
        <v>0</v>
      </c>
      <c r="L79" s="24">
        <v>0</v>
      </c>
      <c r="M79" s="24">
        <v>0</v>
      </c>
      <c r="N79" s="2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hidden="1" customHeight="1" x14ac:dyDescent="0.15">
      <c r="A80" s="1"/>
      <c r="B80" s="1"/>
      <c r="C80" s="1"/>
      <c r="D80" s="1"/>
      <c r="E80" s="1"/>
      <c r="F80" s="2">
        <v>20</v>
      </c>
      <c r="G80" s="22">
        <v>54300</v>
      </c>
      <c r="H80" s="23" t="s">
        <v>76</v>
      </c>
      <c r="I80" s="1"/>
      <c r="J80" s="24">
        <v>0</v>
      </c>
      <c r="K80" s="24">
        <v>0</v>
      </c>
      <c r="L80" s="24">
        <v>0</v>
      </c>
      <c r="M80" s="24">
        <v>0</v>
      </c>
      <c r="N80" s="2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hidden="1" customHeight="1" x14ac:dyDescent="0.15">
      <c r="A81" s="1"/>
      <c r="B81" s="1"/>
      <c r="C81" s="1"/>
      <c r="D81" s="1"/>
      <c r="E81" s="1"/>
      <c r="F81" s="2">
        <v>20</v>
      </c>
      <c r="G81" s="22">
        <v>54400</v>
      </c>
      <c r="H81" s="23" t="s">
        <v>77</v>
      </c>
      <c r="I81" s="1"/>
      <c r="J81" s="24">
        <v>0</v>
      </c>
      <c r="K81" s="24">
        <v>0</v>
      </c>
      <c r="L81" s="24">
        <v>0</v>
      </c>
      <c r="M81" s="24">
        <v>0</v>
      </c>
      <c r="N81" s="2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hidden="1" customHeight="1" x14ac:dyDescent="0.15">
      <c r="A82" s="1"/>
      <c r="B82" s="1"/>
      <c r="C82" s="1"/>
      <c r="D82" s="1"/>
      <c r="E82" s="1"/>
      <c r="F82" s="2">
        <v>20</v>
      </c>
      <c r="G82" s="22">
        <v>54500</v>
      </c>
      <c r="H82" s="23" t="s">
        <v>78</v>
      </c>
      <c r="I82" s="1"/>
      <c r="J82" s="24">
        <v>0</v>
      </c>
      <c r="K82" s="24">
        <v>0</v>
      </c>
      <c r="L82" s="24">
        <v>0</v>
      </c>
      <c r="M82" s="24">
        <v>0</v>
      </c>
      <c r="N82" s="2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hidden="1" customHeight="1" x14ac:dyDescent="0.15">
      <c r="A83" s="1"/>
      <c r="B83" s="1"/>
      <c r="C83" s="1"/>
      <c r="D83" s="1"/>
      <c r="E83" s="1"/>
      <c r="F83" s="2">
        <v>20</v>
      </c>
      <c r="G83" s="22">
        <v>54600</v>
      </c>
      <c r="H83" s="23" t="s">
        <v>79</v>
      </c>
      <c r="I83" s="1"/>
      <c r="J83" s="24">
        <v>0</v>
      </c>
      <c r="K83" s="24">
        <v>0</v>
      </c>
      <c r="L83" s="24">
        <v>0</v>
      </c>
      <c r="M83" s="24">
        <v>0</v>
      </c>
      <c r="N83" s="2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hidden="1" customHeight="1" x14ac:dyDescent="0.15">
      <c r="A84" s="1"/>
      <c r="B84" s="1"/>
      <c r="C84" s="1"/>
      <c r="D84" s="1"/>
      <c r="E84" s="1"/>
      <c r="F84" s="2"/>
      <c r="G84" s="22"/>
      <c r="H84" s="25" t="s">
        <v>80</v>
      </c>
      <c r="I84" s="1"/>
      <c r="J84" s="26">
        <f>SUM(J78:J83)</f>
        <v>0</v>
      </c>
      <c r="K84" s="26">
        <f>SUM(K78:K83)</f>
        <v>0</v>
      </c>
      <c r="L84" s="26">
        <f>SUM(L78:L83)</f>
        <v>0</v>
      </c>
      <c r="M84" s="26">
        <f>SUM(M78:M83)</f>
        <v>0</v>
      </c>
      <c r="N84" s="2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2"/>
      <c r="G85" s="17">
        <v>52000</v>
      </c>
      <c r="H85" s="18" t="s">
        <v>81</v>
      </c>
      <c r="I85" s="1"/>
      <c r="J85" s="24"/>
      <c r="K85" s="24"/>
      <c r="L85" s="24"/>
      <c r="M85" s="24"/>
      <c r="N85" s="2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2">
        <v>22</v>
      </c>
      <c r="G86" s="22">
        <v>52200</v>
      </c>
      <c r="H86" s="23" t="s">
        <v>82</v>
      </c>
      <c r="I86" s="1"/>
      <c r="J86" s="24">
        <v>45</v>
      </c>
      <c r="K86" s="24">
        <v>5000</v>
      </c>
      <c r="L86" s="24">
        <v>15000</v>
      </c>
      <c r="M86" s="24">
        <v>20000</v>
      </c>
      <c r="N86" s="2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2">
        <v>22</v>
      </c>
      <c r="G87" s="22">
        <v>52400</v>
      </c>
      <c r="H87" s="101" t="s">
        <v>83</v>
      </c>
      <c r="I87" s="1"/>
      <c r="J87" s="24">
        <v>17127.22</v>
      </c>
      <c r="K87" s="24">
        <v>99200</v>
      </c>
      <c r="L87" s="24">
        <v>263000</v>
      </c>
      <c r="M87" s="24">
        <v>405000</v>
      </c>
      <c r="N87" s="24"/>
      <c r="O87" s="9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2">
        <v>22</v>
      </c>
      <c r="G88" s="22">
        <v>52500</v>
      </c>
      <c r="H88" s="23" t="s">
        <v>84</v>
      </c>
      <c r="I88" s="1"/>
      <c r="J88" s="24">
        <v>0</v>
      </c>
      <c r="K88" s="24">
        <v>0</v>
      </c>
      <c r="L88" s="24">
        <v>20000</v>
      </c>
      <c r="M88" s="24">
        <v>30000</v>
      </c>
      <c r="N88" s="24"/>
      <c r="O88" s="9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2">
        <v>22</v>
      </c>
      <c r="G89" s="22">
        <v>52600</v>
      </c>
      <c r="H89" s="23" t="s">
        <v>85</v>
      </c>
      <c r="I89" s="1"/>
      <c r="J89" s="24">
        <v>0</v>
      </c>
      <c r="K89" s="24">
        <v>0</v>
      </c>
      <c r="L89" s="24">
        <v>0</v>
      </c>
      <c r="M89" s="24">
        <v>0</v>
      </c>
      <c r="N89" s="2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2">
        <v>22</v>
      </c>
      <c r="G90" s="22">
        <v>52800</v>
      </c>
      <c r="H90" s="23" t="s">
        <v>86</v>
      </c>
      <c r="I90" s="1"/>
      <c r="J90" s="24">
        <v>0</v>
      </c>
      <c r="K90" s="24">
        <v>0</v>
      </c>
      <c r="L90" s="24">
        <v>0</v>
      </c>
      <c r="M90" s="24">
        <v>0</v>
      </c>
      <c r="N90" s="2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2"/>
      <c r="G91" s="22"/>
      <c r="H91" s="25" t="s">
        <v>87</v>
      </c>
      <c r="I91" s="1"/>
      <c r="J91" s="26">
        <f>SUM(J86:J90)</f>
        <v>17172.22</v>
      </c>
      <c r="K91" s="26">
        <f>SUM(K86:K90)</f>
        <v>104200</v>
      </c>
      <c r="L91" s="26">
        <f>SUM(L86:L90)</f>
        <v>298000</v>
      </c>
      <c r="M91" s="26">
        <f>SUM(M86:M90)</f>
        <v>455000</v>
      </c>
      <c r="N91" s="2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2">
        <v>23</v>
      </c>
      <c r="G92" s="22">
        <v>52300</v>
      </c>
      <c r="H92" s="23" t="s">
        <v>88</v>
      </c>
      <c r="I92" s="1"/>
      <c r="J92" s="24">
        <v>0</v>
      </c>
      <c r="K92" s="24">
        <v>3000</v>
      </c>
      <c r="L92" s="24">
        <v>2500</v>
      </c>
      <c r="M92" s="24">
        <v>10000</v>
      </c>
      <c r="N92" s="2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hidden="1" customHeight="1" x14ac:dyDescent="0.15">
      <c r="A93" s="1"/>
      <c r="B93" s="1"/>
      <c r="C93" s="1"/>
      <c r="D93" s="1"/>
      <c r="E93" s="1"/>
      <c r="F93" s="2">
        <v>23</v>
      </c>
      <c r="G93" s="22">
        <v>52700</v>
      </c>
      <c r="H93" s="23" t="s">
        <v>89</v>
      </c>
      <c r="I93" s="1"/>
      <c r="J93" s="24">
        <v>0</v>
      </c>
      <c r="K93" s="24">
        <v>0</v>
      </c>
      <c r="L93" s="24">
        <v>0</v>
      </c>
      <c r="M93" s="24">
        <v>0</v>
      </c>
      <c r="N93" s="2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2"/>
      <c r="G94" s="17">
        <v>53000</v>
      </c>
      <c r="H94" s="18" t="s">
        <v>90</v>
      </c>
      <c r="I94" s="1"/>
      <c r="J94" s="24"/>
      <c r="K94" s="24"/>
      <c r="L94" s="24"/>
      <c r="M94" s="24"/>
      <c r="N94" s="2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2">
        <v>23</v>
      </c>
      <c r="G95" s="22">
        <v>53100</v>
      </c>
      <c r="H95" s="23" t="s">
        <v>91</v>
      </c>
      <c r="I95" s="1"/>
      <c r="J95" s="24">
        <v>51.94</v>
      </c>
      <c r="K95" s="24">
        <v>2000</v>
      </c>
      <c r="L95" s="24">
        <v>1000</v>
      </c>
      <c r="M95" s="24">
        <v>5000</v>
      </c>
      <c r="N95" s="24"/>
      <c r="O95" s="9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2">
        <v>23</v>
      </c>
      <c r="G96" s="22">
        <v>53200</v>
      </c>
      <c r="H96" s="23" t="s">
        <v>92</v>
      </c>
      <c r="I96" s="1"/>
      <c r="J96" s="24">
        <v>0</v>
      </c>
      <c r="K96" s="24">
        <v>0</v>
      </c>
      <c r="L96" s="24">
        <v>1000</v>
      </c>
      <c r="M96" s="24">
        <v>1000</v>
      </c>
      <c r="N96" s="2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2">
        <v>23</v>
      </c>
      <c r="G97" s="22">
        <v>53300</v>
      </c>
      <c r="H97" s="23" t="s">
        <v>93</v>
      </c>
      <c r="I97" s="1"/>
      <c r="J97" s="24">
        <v>0</v>
      </c>
      <c r="K97" s="24">
        <v>30</v>
      </c>
      <c r="L97" s="24">
        <v>50</v>
      </c>
      <c r="M97" s="24">
        <v>50</v>
      </c>
      <c r="N97" s="2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2">
        <v>23</v>
      </c>
      <c r="G98" s="22">
        <v>53400</v>
      </c>
      <c r="H98" s="23" t="s">
        <v>94</v>
      </c>
      <c r="I98" s="1"/>
      <c r="J98" s="24">
        <v>0</v>
      </c>
      <c r="K98" s="24">
        <v>50</v>
      </c>
      <c r="L98" s="24">
        <v>100</v>
      </c>
      <c r="M98" s="24">
        <v>150</v>
      </c>
      <c r="N98" s="2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hidden="1" customHeight="1" x14ac:dyDescent="0.15">
      <c r="A99" s="1"/>
      <c r="B99" s="1"/>
      <c r="C99" s="1"/>
      <c r="D99" s="1"/>
      <c r="E99" s="1"/>
      <c r="F99" s="2">
        <v>23</v>
      </c>
      <c r="G99" s="22">
        <v>53500</v>
      </c>
      <c r="H99" s="23" t="s">
        <v>95</v>
      </c>
      <c r="I99" s="1"/>
      <c r="J99" s="24">
        <v>0</v>
      </c>
      <c r="K99" s="24">
        <v>0</v>
      </c>
      <c r="L99" s="24">
        <v>0</v>
      </c>
      <c r="M99" s="24">
        <v>0</v>
      </c>
      <c r="N99" s="2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2">
        <v>23</v>
      </c>
      <c r="G100" s="22">
        <v>53600</v>
      </c>
      <c r="H100" s="23" t="s">
        <v>96</v>
      </c>
      <c r="I100" s="1"/>
      <c r="J100" s="24">
        <v>0</v>
      </c>
      <c r="K100" s="24">
        <v>0</v>
      </c>
      <c r="L100" s="24">
        <v>0</v>
      </c>
      <c r="M100" s="24">
        <v>10000</v>
      </c>
      <c r="N100" s="2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hidden="1" customHeight="1" x14ac:dyDescent="0.15">
      <c r="A101" s="1"/>
      <c r="B101" s="1"/>
      <c r="C101" s="1"/>
      <c r="D101" s="1"/>
      <c r="E101" s="1"/>
      <c r="F101" s="2">
        <v>23</v>
      </c>
      <c r="G101" s="22">
        <v>53700</v>
      </c>
      <c r="H101" s="23" t="s">
        <v>97</v>
      </c>
      <c r="I101" s="1"/>
      <c r="J101" s="24">
        <v>0</v>
      </c>
      <c r="K101" s="24">
        <v>0</v>
      </c>
      <c r="L101" s="24">
        <v>0</v>
      </c>
      <c r="M101" s="24">
        <v>0</v>
      </c>
      <c r="N101" s="2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2">
        <v>23</v>
      </c>
      <c r="G102" s="22">
        <v>53800</v>
      </c>
      <c r="H102" s="101" t="s">
        <v>98</v>
      </c>
      <c r="I102" s="1"/>
      <c r="J102" s="24">
        <v>429</v>
      </c>
      <c r="K102" s="24">
        <v>725</v>
      </c>
      <c r="L102" s="24">
        <v>300</v>
      </c>
      <c r="M102" s="24">
        <v>350</v>
      </c>
      <c r="N102" s="2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hidden="1" customHeight="1" x14ac:dyDescent="0.15">
      <c r="A103" s="1"/>
      <c r="B103" s="1"/>
      <c r="C103" s="1"/>
      <c r="D103" s="1"/>
      <c r="E103" s="1"/>
      <c r="F103" s="2">
        <v>23</v>
      </c>
      <c r="G103" s="22">
        <v>53900</v>
      </c>
      <c r="H103" s="23" t="s">
        <v>99</v>
      </c>
      <c r="I103" s="1"/>
      <c r="J103" s="24">
        <v>0</v>
      </c>
      <c r="K103" s="24">
        <v>0</v>
      </c>
      <c r="L103" s="24">
        <v>0</v>
      </c>
      <c r="M103" s="24">
        <v>0</v>
      </c>
      <c r="N103" s="2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2"/>
      <c r="G104" s="17">
        <v>55000</v>
      </c>
      <c r="H104" s="18" t="s">
        <v>100</v>
      </c>
      <c r="I104" s="1"/>
      <c r="J104" s="24"/>
      <c r="K104" s="24"/>
      <c r="L104" s="24"/>
      <c r="M104" s="24"/>
      <c r="N104" s="2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2">
        <v>23</v>
      </c>
      <c r="G105" s="22">
        <v>55100</v>
      </c>
      <c r="H105" s="23" t="s">
        <v>101</v>
      </c>
      <c r="I105" s="1"/>
      <c r="J105" s="24">
        <v>1991</v>
      </c>
      <c r="K105" s="24">
        <v>2500</v>
      </c>
      <c r="L105" s="24">
        <v>9000</v>
      </c>
      <c r="M105" s="24">
        <v>11000</v>
      </c>
      <c r="N105" s="2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2">
        <v>23</v>
      </c>
      <c r="G106" s="22">
        <v>55200</v>
      </c>
      <c r="H106" s="23" t="s">
        <v>102</v>
      </c>
      <c r="I106" s="1"/>
      <c r="J106" s="24">
        <v>1074.21</v>
      </c>
      <c r="K106" s="24">
        <v>1000</v>
      </c>
      <c r="L106" s="24">
        <v>7000</v>
      </c>
      <c r="M106" s="24">
        <v>8000</v>
      </c>
      <c r="N106" s="2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2">
        <v>23</v>
      </c>
      <c r="G107" s="22">
        <v>55300</v>
      </c>
      <c r="H107" s="23" t="s">
        <v>103</v>
      </c>
      <c r="I107" s="1"/>
      <c r="J107" s="24">
        <v>0</v>
      </c>
      <c r="K107" s="24">
        <v>0</v>
      </c>
      <c r="L107" s="24">
        <v>5600</v>
      </c>
      <c r="M107" s="24">
        <v>6000</v>
      </c>
      <c r="N107" s="2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hidden="1" customHeight="1" x14ac:dyDescent="0.15">
      <c r="A108" s="1"/>
      <c r="B108" s="1"/>
      <c r="C108" s="1"/>
      <c r="D108" s="1"/>
      <c r="E108" s="1"/>
      <c r="F108" s="2">
        <v>23</v>
      </c>
      <c r="G108" s="22">
        <v>55400</v>
      </c>
      <c r="H108" s="23" t="s">
        <v>104</v>
      </c>
      <c r="I108" s="1"/>
      <c r="J108" s="24">
        <v>0</v>
      </c>
      <c r="K108" s="24">
        <v>0</v>
      </c>
      <c r="L108" s="24">
        <v>0</v>
      </c>
      <c r="M108" s="24">
        <v>0</v>
      </c>
      <c r="N108" s="2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2"/>
      <c r="G109" s="17">
        <v>56000</v>
      </c>
      <c r="H109" s="18" t="s">
        <v>105</v>
      </c>
      <c r="I109" s="1"/>
      <c r="J109" s="24"/>
      <c r="K109" s="24"/>
      <c r="L109" s="24"/>
      <c r="M109" s="24"/>
      <c r="N109" s="2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2">
        <v>23</v>
      </c>
      <c r="G110" s="22">
        <v>56100</v>
      </c>
      <c r="H110" s="23" t="s">
        <v>106</v>
      </c>
      <c r="I110" s="1"/>
      <c r="J110" s="24">
        <v>0</v>
      </c>
      <c r="K110" s="24">
        <v>0</v>
      </c>
      <c r="L110" s="24">
        <v>6500</v>
      </c>
      <c r="M110" s="24">
        <v>6500</v>
      </c>
      <c r="N110" s="24"/>
      <c r="O110" s="9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2">
        <v>23</v>
      </c>
      <c r="G111" s="22">
        <v>56200</v>
      </c>
      <c r="H111" s="23" t="s">
        <v>107</v>
      </c>
      <c r="I111" s="1"/>
      <c r="J111" s="24">
        <v>0</v>
      </c>
      <c r="K111" s="24">
        <v>0</v>
      </c>
      <c r="L111" s="24">
        <v>4000</v>
      </c>
      <c r="M111" s="24">
        <v>5000</v>
      </c>
      <c r="N111" s="24"/>
      <c r="O111" s="9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2">
        <v>23</v>
      </c>
      <c r="G112" s="22">
        <v>56300</v>
      </c>
      <c r="H112" s="23" t="s">
        <v>108</v>
      </c>
      <c r="I112" s="1"/>
      <c r="J112" s="24">
        <v>0</v>
      </c>
      <c r="K112" s="24">
        <v>0</v>
      </c>
      <c r="L112" s="24">
        <v>2000</v>
      </c>
      <c r="M112" s="24">
        <v>2000</v>
      </c>
      <c r="N112" s="24"/>
      <c r="O112" s="9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2"/>
      <c r="G113" s="17">
        <v>57000</v>
      </c>
      <c r="H113" s="18" t="s">
        <v>109</v>
      </c>
      <c r="I113" s="1"/>
      <c r="J113" s="24"/>
      <c r="K113" s="24"/>
      <c r="L113" s="24"/>
      <c r="M113" s="24"/>
      <c r="N113" s="2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hidden="1" customHeight="1" x14ac:dyDescent="0.15">
      <c r="A114" s="1"/>
      <c r="B114" s="1"/>
      <c r="C114" s="1"/>
      <c r="D114" s="1"/>
      <c r="E114" s="1"/>
      <c r="F114" s="2">
        <v>23</v>
      </c>
      <c r="G114" s="22">
        <v>57100</v>
      </c>
      <c r="H114" s="23" t="s">
        <v>110</v>
      </c>
      <c r="I114" s="1"/>
      <c r="J114" s="24">
        <v>0</v>
      </c>
      <c r="K114" s="24">
        <v>0</v>
      </c>
      <c r="L114" s="24">
        <v>0</v>
      </c>
      <c r="M114" s="24">
        <v>0</v>
      </c>
      <c r="N114" s="2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2">
        <v>23</v>
      </c>
      <c r="G115" s="22">
        <v>57200</v>
      </c>
      <c r="H115" s="23" t="s">
        <v>111</v>
      </c>
      <c r="I115" s="1"/>
      <c r="J115" s="24">
        <v>0</v>
      </c>
      <c r="K115" s="24">
        <v>500</v>
      </c>
      <c r="L115" s="24">
        <v>3000</v>
      </c>
      <c r="M115" s="24">
        <v>12000</v>
      </c>
      <c r="N115" s="2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hidden="1" customHeight="1" x14ac:dyDescent="0.15">
      <c r="A116" s="1"/>
      <c r="B116" s="1"/>
      <c r="C116" s="1"/>
      <c r="D116" s="1"/>
      <c r="E116" s="1"/>
      <c r="F116" s="2">
        <v>23</v>
      </c>
      <c r="G116" s="22">
        <v>57300</v>
      </c>
      <c r="H116" s="23" t="s">
        <v>112</v>
      </c>
      <c r="I116" s="1"/>
      <c r="J116" s="24">
        <v>0</v>
      </c>
      <c r="K116" s="24">
        <v>0</v>
      </c>
      <c r="L116" s="24">
        <v>0</v>
      </c>
      <c r="M116" s="24">
        <v>0</v>
      </c>
      <c r="N116" s="2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hidden="1" customHeight="1" x14ac:dyDescent="0.15">
      <c r="A117" s="1"/>
      <c r="B117" s="1"/>
      <c r="C117" s="1"/>
      <c r="D117" s="1"/>
      <c r="E117" s="1"/>
      <c r="F117" s="2">
        <v>23</v>
      </c>
      <c r="G117" s="22">
        <v>57400</v>
      </c>
      <c r="H117" s="23" t="s">
        <v>113</v>
      </c>
      <c r="I117" s="1"/>
      <c r="J117" s="24">
        <v>0</v>
      </c>
      <c r="K117" s="24">
        <v>0</v>
      </c>
      <c r="L117" s="24">
        <v>0</v>
      </c>
      <c r="M117" s="24">
        <v>0</v>
      </c>
      <c r="N117" s="2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2">
        <v>23</v>
      </c>
      <c r="G118" s="22">
        <v>57500</v>
      </c>
      <c r="H118" s="23" t="s">
        <v>114</v>
      </c>
      <c r="I118" s="1"/>
      <c r="J118" s="24">
        <v>92.27</v>
      </c>
      <c r="K118" s="24">
        <v>530</v>
      </c>
      <c r="L118" s="24">
        <v>6000</v>
      </c>
      <c r="M118" s="24">
        <v>10000</v>
      </c>
      <c r="N118" s="2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2">
        <v>23</v>
      </c>
      <c r="G119" s="22">
        <v>57600</v>
      </c>
      <c r="H119" s="23" t="s">
        <v>115</v>
      </c>
      <c r="I119" s="1"/>
      <c r="J119" s="24">
        <v>98.77</v>
      </c>
      <c r="K119" s="24">
        <v>2670</v>
      </c>
      <c r="L119" s="24">
        <v>5000</v>
      </c>
      <c r="M119" s="24">
        <v>7500</v>
      </c>
      <c r="N119" s="2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hidden="1" customHeight="1" x14ac:dyDescent="0.15">
      <c r="A120" s="1"/>
      <c r="B120" s="1"/>
      <c r="C120" s="1"/>
      <c r="D120" s="1"/>
      <c r="E120" s="1"/>
      <c r="F120" s="2"/>
      <c r="G120" s="22">
        <v>57700</v>
      </c>
      <c r="H120" s="23" t="s">
        <v>116</v>
      </c>
      <c r="I120" s="1"/>
      <c r="J120" s="24"/>
      <c r="K120" s="24"/>
      <c r="L120" s="24"/>
      <c r="M120" s="24"/>
      <c r="N120" s="2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2">
        <v>23</v>
      </c>
      <c r="G121" s="22">
        <v>51500</v>
      </c>
      <c r="H121" s="23" t="s">
        <v>117</v>
      </c>
      <c r="I121" s="1"/>
      <c r="J121" s="24">
        <f>0.15*(J74+J71)</f>
        <v>0</v>
      </c>
      <c r="K121" s="24">
        <v>3750</v>
      </c>
      <c r="L121" s="24">
        <v>68655</v>
      </c>
      <c r="M121" s="24">
        <v>94530</v>
      </c>
      <c r="N121" s="2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hidden="1" customHeight="1" x14ac:dyDescent="0.15">
      <c r="A122" s="1"/>
      <c r="B122" s="1"/>
      <c r="C122" s="1"/>
      <c r="D122" s="1"/>
      <c r="E122" s="1"/>
      <c r="F122" s="2">
        <v>23</v>
      </c>
      <c r="G122" s="22">
        <v>57800</v>
      </c>
      <c r="H122" s="23" t="s">
        <v>118</v>
      </c>
      <c r="I122" s="1"/>
      <c r="J122" s="24">
        <v>0</v>
      </c>
      <c r="K122" s="24">
        <v>0</v>
      </c>
      <c r="L122" s="24">
        <v>0</v>
      </c>
      <c r="M122" s="24">
        <v>0</v>
      </c>
      <c r="N122" s="2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2">
        <v>23</v>
      </c>
      <c r="G123" s="22">
        <v>57900</v>
      </c>
      <c r="H123" s="23" t="s">
        <v>119</v>
      </c>
      <c r="I123" s="1"/>
      <c r="J123" s="24">
        <v>0</v>
      </c>
      <c r="K123" s="24">
        <v>100</v>
      </c>
      <c r="L123" s="24">
        <v>200</v>
      </c>
      <c r="M123" s="24">
        <v>200</v>
      </c>
      <c r="N123" s="2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2"/>
      <c r="G124" s="17">
        <v>60000</v>
      </c>
      <c r="H124" s="18" t="s">
        <v>120</v>
      </c>
      <c r="I124" s="1"/>
      <c r="J124" s="24"/>
      <c r="K124" s="24"/>
      <c r="L124" s="24"/>
      <c r="M124" s="24"/>
      <c r="N124" s="2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hidden="1" customHeight="1" x14ac:dyDescent="0.15">
      <c r="A125" s="1"/>
      <c r="B125" s="1"/>
      <c r="C125" s="1"/>
      <c r="D125" s="1"/>
      <c r="E125" s="1"/>
      <c r="F125" s="2">
        <v>23</v>
      </c>
      <c r="G125" s="22">
        <v>61000</v>
      </c>
      <c r="H125" s="45" t="s">
        <v>121</v>
      </c>
      <c r="I125" s="1"/>
      <c r="J125" s="24">
        <v>0</v>
      </c>
      <c r="K125" s="24">
        <v>0</v>
      </c>
      <c r="L125" s="24">
        <v>0</v>
      </c>
      <c r="M125" s="24">
        <v>0</v>
      </c>
      <c r="N125" s="2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40.5" customHeight="1" x14ac:dyDescent="0.15">
      <c r="A126" s="1"/>
      <c r="B126" s="1"/>
      <c r="C126" s="1"/>
      <c r="D126" s="1"/>
      <c r="E126" s="1"/>
      <c r="F126" s="2">
        <v>23</v>
      </c>
      <c r="G126" s="22">
        <v>61500</v>
      </c>
      <c r="H126" s="96" t="s">
        <v>122</v>
      </c>
      <c r="I126" s="1"/>
      <c r="J126" s="24">
        <v>1319.37</v>
      </c>
      <c r="K126" s="24">
        <v>16000</v>
      </c>
      <c r="L126" s="24">
        <v>200000</v>
      </c>
      <c r="M126" s="24">
        <v>300000</v>
      </c>
      <c r="N126" s="2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hidden="1" customHeight="1" x14ac:dyDescent="0.15">
      <c r="A127" s="1"/>
      <c r="B127" s="1"/>
      <c r="C127" s="1"/>
      <c r="D127" s="1"/>
      <c r="E127" s="1"/>
      <c r="F127" s="2">
        <v>23</v>
      </c>
      <c r="G127" s="22">
        <v>62000</v>
      </c>
      <c r="H127" s="45" t="s">
        <v>123</v>
      </c>
      <c r="I127" s="1"/>
      <c r="J127" s="24">
        <v>0</v>
      </c>
      <c r="K127" s="24">
        <v>0</v>
      </c>
      <c r="L127" s="24">
        <v>0</v>
      </c>
      <c r="M127" s="24">
        <v>0</v>
      </c>
      <c r="N127" s="2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" customHeight="1" x14ac:dyDescent="0.15">
      <c r="A128" s="1"/>
      <c r="B128" s="1"/>
      <c r="C128" s="1"/>
      <c r="D128" s="1"/>
      <c r="E128" s="1"/>
      <c r="F128" s="2">
        <v>23</v>
      </c>
      <c r="G128" s="22">
        <v>62500</v>
      </c>
      <c r="H128" s="96" t="s">
        <v>124</v>
      </c>
      <c r="I128" s="1"/>
      <c r="J128" s="24">
        <v>0</v>
      </c>
      <c r="K128" s="24">
        <v>0</v>
      </c>
      <c r="L128" s="24">
        <v>10000</v>
      </c>
      <c r="M128" s="24">
        <v>20000</v>
      </c>
      <c r="N128" s="2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hidden="1" customHeight="1" x14ac:dyDescent="0.15">
      <c r="A129" s="1"/>
      <c r="B129" s="1"/>
      <c r="C129" s="1"/>
      <c r="D129" s="1"/>
      <c r="E129" s="1"/>
      <c r="F129" s="2">
        <v>23</v>
      </c>
      <c r="G129" s="22">
        <v>63000</v>
      </c>
      <c r="H129" s="45" t="s">
        <v>125</v>
      </c>
      <c r="I129" s="1"/>
      <c r="J129" s="24">
        <v>0</v>
      </c>
      <c r="K129" s="24">
        <v>0</v>
      </c>
      <c r="L129" s="24">
        <v>0</v>
      </c>
      <c r="M129" s="24">
        <v>0</v>
      </c>
      <c r="N129" s="2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5" customHeight="1" x14ac:dyDescent="0.15">
      <c r="A130" s="1"/>
      <c r="B130" s="1"/>
      <c r="C130" s="1"/>
      <c r="D130" s="1"/>
      <c r="E130" s="1"/>
      <c r="F130" s="2">
        <v>23</v>
      </c>
      <c r="G130" s="22">
        <v>63500</v>
      </c>
      <c r="H130" s="96" t="s">
        <v>126</v>
      </c>
      <c r="I130" s="1"/>
      <c r="J130" s="24">
        <v>0</v>
      </c>
      <c r="K130" s="24">
        <v>0</v>
      </c>
      <c r="L130" s="24">
        <v>20000</v>
      </c>
      <c r="M130" s="24">
        <v>50000</v>
      </c>
      <c r="N130" s="24"/>
      <c r="O130" s="9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2">
        <v>23</v>
      </c>
      <c r="G131" s="22">
        <v>64000</v>
      </c>
      <c r="H131" s="45" t="s">
        <v>127</v>
      </c>
      <c r="I131" s="1"/>
      <c r="J131" s="24">
        <v>0</v>
      </c>
      <c r="K131" s="24">
        <v>0</v>
      </c>
      <c r="L131" s="24">
        <v>0</v>
      </c>
      <c r="M131" s="24">
        <v>0</v>
      </c>
      <c r="N131" s="24"/>
      <c r="O131" s="9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hidden="1" customHeight="1" x14ac:dyDescent="0.15">
      <c r="A132" s="1"/>
      <c r="B132" s="1"/>
      <c r="C132" s="1"/>
      <c r="D132" s="1"/>
      <c r="E132" s="1"/>
      <c r="F132" s="2">
        <v>23</v>
      </c>
      <c r="G132" s="22">
        <v>64500</v>
      </c>
      <c r="H132" s="45" t="s">
        <v>128</v>
      </c>
      <c r="I132" s="1"/>
      <c r="J132" s="24">
        <v>0</v>
      </c>
      <c r="K132" s="24">
        <v>0</v>
      </c>
      <c r="L132" s="24">
        <v>0</v>
      </c>
      <c r="M132" s="24">
        <v>0</v>
      </c>
      <c r="N132" s="2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hidden="1" customHeight="1" x14ac:dyDescent="0.15">
      <c r="A133" s="1"/>
      <c r="B133" s="1"/>
      <c r="C133" s="1"/>
      <c r="D133" s="1"/>
      <c r="E133" s="1"/>
      <c r="F133" s="2">
        <v>23</v>
      </c>
      <c r="G133" s="22">
        <v>65000</v>
      </c>
      <c r="H133" s="45" t="s">
        <v>129</v>
      </c>
      <c r="I133" s="1"/>
      <c r="J133" s="24">
        <v>0</v>
      </c>
      <c r="K133" s="24">
        <v>0</v>
      </c>
      <c r="L133" s="24">
        <v>0</v>
      </c>
      <c r="M133" s="24">
        <v>0</v>
      </c>
      <c r="N133" s="2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hidden="1" customHeight="1" x14ac:dyDescent="0.15">
      <c r="A134" s="1"/>
      <c r="B134" s="1"/>
      <c r="C134" s="1"/>
      <c r="D134" s="1"/>
      <c r="E134" s="1"/>
      <c r="F134" s="2">
        <v>23</v>
      </c>
      <c r="G134" s="22">
        <v>65500</v>
      </c>
      <c r="H134" s="45" t="s">
        <v>130</v>
      </c>
      <c r="I134" s="1"/>
      <c r="J134" s="24">
        <v>0</v>
      </c>
      <c r="K134" s="24">
        <v>0</v>
      </c>
      <c r="L134" s="24">
        <v>0</v>
      </c>
      <c r="M134" s="24">
        <v>0</v>
      </c>
      <c r="N134" s="2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hidden="1" customHeight="1" x14ac:dyDescent="0.15">
      <c r="A135" s="1"/>
      <c r="B135" s="1"/>
      <c r="C135" s="1"/>
      <c r="D135" s="1"/>
      <c r="E135" s="1"/>
      <c r="F135" s="2">
        <v>23</v>
      </c>
      <c r="G135" s="22">
        <v>49150</v>
      </c>
      <c r="H135" s="23" t="s">
        <v>131</v>
      </c>
      <c r="I135" s="1"/>
      <c r="J135" s="24">
        <v>0</v>
      </c>
      <c r="K135" s="24">
        <v>0</v>
      </c>
      <c r="L135" s="24">
        <v>0</v>
      </c>
      <c r="M135" s="24">
        <v>0</v>
      </c>
      <c r="N135" s="2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hidden="1" customHeight="1" x14ac:dyDescent="0.15">
      <c r="A136" s="1"/>
      <c r="B136" s="1"/>
      <c r="C136" s="1"/>
      <c r="D136" s="1"/>
      <c r="E136" s="1"/>
      <c r="F136" s="2">
        <v>23</v>
      </c>
      <c r="G136" s="22">
        <v>49250</v>
      </c>
      <c r="H136" s="23" t="s">
        <v>132</v>
      </c>
      <c r="I136" s="1"/>
      <c r="J136" s="24">
        <v>0</v>
      </c>
      <c r="K136" s="24">
        <v>0</v>
      </c>
      <c r="L136" s="24">
        <v>0</v>
      </c>
      <c r="M136" s="24">
        <v>0</v>
      </c>
      <c r="N136" s="2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2"/>
      <c r="G137" s="16"/>
      <c r="H137" s="33" t="s">
        <v>133</v>
      </c>
      <c r="I137" s="1"/>
      <c r="J137" s="28">
        <f>SUM(J92:J136)</f>
        <v>5056.5599999999995</v>
      </c>
      <c r="K137" s="28">
        <f>SUM(K92:K136)</f>
        <v>32855</v>
      </c>
      <c r="L137" s="28">
        <f>SUM(L92:L136)</f>
        <v>351905</v>
      </c>
      <c r="M137" s="28">
        <f>SUM(M92:M136)</f>
        <v>559280</v>
      </c>
      <c r="N137" s="2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2"/>
      <c r="G138" s="34"/>
      <c r="H138" s="35" t="s">
        <v>134</v>
      </c>
      <c r="I138" s="47"/>
      <c r="J138" s="37">
        <f>J137+J91+J84+J76+J73+J69+J67+J60</f>
        <v>22228.78</v>
      </c>
      <c r="K138" s="37">
        <f>K137+K91+K84+K76+K73+K69+K67+K60</f>
        <v>137055</v>
      </c>
      <c r="L138" s="37">
        <f>L137+L91+L84+L76+L73+L69+L67+L60</f>
        <v>649905</v>
      </c>
      <c r="M138" s="37">
        <f>M137+M91+M84+M76+M73+M69+M67+M60</f>
        <v>1014280</v>
      </c>
      <c r="N138" s="3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2"/>
      <c r="G139" s="1"/>
      <c r="H139" s="1"/>
      <c r="I139" s="1"/>
      <c r="J139" s="48"/>
      <c r="K139" s="48"/>
      <c r="L139" s="48"/>
      <c r="M139" s="48"/>
      <c r="N139" s="4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97"/>
      <c r="G140" s="98"/>
      <c r="H140" s="99" t="s">
        <v>135</v>
      </c>
      <c r="I140" s="98"/>
      <c r="J140" s="103" t="s">
        <v>136</v>
      </c>
      <c r="K140" s="104"/>
      <c r="L140" s="10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2"/>
      <c r="G141" s="19"/>
      <c r="H141" s="1"/>
      <c r="I141" s="1"/>
      <c r="J141" s="48"/>
      <c r="K141" s="48"/>
      <c r="L141" s="48"/>
      <c r="M141" s="48"/>
      <c r="N141" s="4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2"/>
      <c r="G142" s="49"/>
      <c r="H142" s="50"/>
      <c r="I142" s="1"/>
      <c r="J142" s="2" t="s">
        <v>137</v>
      </c>
      <c r="K142" s="48"/>
      <c r="L142" s="48"/>
      <c r="M142" s="48"/>
      <c r="N142" s="4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51"/>
      <c r="G143" s="52" t="s">
        <v>138</v>
      </c>
      <c r="H143" s="23"/>
      <c r="I143" s="53"/>
      <c r="J143" s="54" t="s">
        <v>139</v>
      </c>
      <c r="K143" s="48"/>
      <c r="L143" s="48"/>
      <c r="M143" s="48"/>
      <c r="N143" s="4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55"/>
      <c r="G144" s="17">
        <v>10000</v>
      </c>
      <c r="H144" s="18" t="s">
        <v>140</v>
      </c>
      <c r="I144" s="1"/>
      <c r="J144" s="56"/>
      <c r="K144" s="48"/>
      <c r="L144" s="48"/>
      <c r="M144" s="48"/>
      <c r="N144" s="4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55">
        <v>1</v>
      </c>
      <c r="G145" s="22">
        <v>10100</v>
      </c>
      <c r="H145" s="23" t="s">
        <v>141</v>
      </c>
      <c r="I145" s="1"/>
      <c r="J145" s="57"/>
      <c r="K145" s="48"/>
      <c r="L145" s="48"/>
      <c r="M145" s="48"/>
      <c r="N145" s="4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55">
        <v>1</v>
      </c>
      <c r="G146" s="22">
        <v>10300</v>
      </c>
      <c r="H146" s="23" t="s">
        <v>142</v>
      </c>
      <c r="I146" s="1"/>
      <c r="J146" s="57"/>
      <c r="K146" s="48"/>
      <c r="L146" s="48"/>
      <c r="M146" s="48"/>
      <c r="N146" s="4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58">
        <v>2</v>
      </c>
      <c r="G147" s="17">
        <v>11000</v>
      </c>
      <c r="H147" s="18" t="s">
        <v>143</v>
      </c>
      <c r="I147" s="19"/>
      <c r="J147" s="59"/>
      <c r="K147" s="48"/>
      <c r="L147" s="48"/>
      <c r="M147" s="48"/>
      <c r="N147" s="4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58"/>
      <c r="G148" s="17">
        <v>13000</v>
      </c>
      <c r="H148" s="18" t="s">
        <v>144</v>
      </c>
      <c r="I148" s="19"/>
      <c r="J148" s="57"/>
      <c r="K148" s="48"/>
      <c r="L148" s="48"/>
      <c r="M148" s="48"/>
      <c r="N148" s="4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55">
        <v>2</v>
      </c>
      <c r="G149" s="22">
        <v>13100</v>
      </c>
      <c r="H149" s="23" t="s">
        <v>145</v>
      </c>
      <c r="I149" s="1"/>
      <c r="J149" s="57"/>
      <c r="K149" s="48"/>
      <c r="L149" s="48"/>
      <c r="M149" s="48"/>
      <c r="N149" s="4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55">
        <v>6</v>
      </c>
      <c r="G150" s="22">
        <v>13200</v>
      </c>
      <c r="H150" s="23" t="s">
        <v>146</v>
      </c>
      <c r="I150" s="1"/>
      <c r="J150" s="57"/>
      <c r="K150" s="48"/>
      <c r="L150" s="48"/>
      <c r="M150" s="48"/>
      <c r="N150" s="4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55"/>
      <c r="G151" s="17">
        <v>14000</v>
      </c>
      <c r="H151" s="18" t="s">
        <v>147</v>
      </c>
      <c r="I151" s="1"/>
      <c r="J151" s="57"/>
      <c r="K151" s="48"/>
      <c r="L151" s="48"/>
      <c r="M151" s="48"/>
      <c r="N151" s="4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55">
        <v>3</v>
      </c>
      <c r="G152" s="22">
        <v>14100</v>
      </c>
      <c r="H152" s="23" t="s">
        <v>148</v>
      </c>
      <c r="I152" s="1"/>
      <c r="J152" s="57"/>
      <c r="K152" s="48"/>
      <c r="L152" s="48"/>
      <c r="M152" s="48"/>
      <c r="N152" s="4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55">
        <v>3</v>
      </c>
      <c r="G153" s="22">
        <v>14200</v>
      </c>
      <c r="H153" s="23" t="s">
        <v>149</v>
      </c>
      <c r="I153" s="1"/>
      <c r="J153" s="57"/>
      <c r="K153" s="48"/>
      <c r="L153" s="48"/>
      <c r="M153" s="48"/>
      <c r="N153" s="4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58"/>
      <c r="G154" s="17">
        <v>15000</v>
      </c>
      <c r="H154" s="60" t="s">
        <v>150</v>
      </c>
      <c r="I154" s="61"/>
      <c r="J154" s="57"/>
      <c r="K154" s="48"/>
      <c r="L154" s="48"/>
      <c r="M154" s="48"/>
      <c r="N154" s="4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55"/>
      <c r="G155" s="22">
        <v>15100</v>
      </c>
      <c r="H155" s="23" t="s">
        <v>151</v>
      </c>
      <c r="I155" s="1"/>
      <c r="J155" s="57"/>
      <c r="K155" s="48"/>
      <c r="L155" s="48"/>
      <c r="M155" s="48"/>
      <c r="N155" s="4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55">
        <v>7</v>
      </c>
      <c r="G156" s="22">
        <v>15400</v>
      </c>
      <c r="H156" s="23" t="s">
        <v>152</v>
      </c>
      <c r="I156" s="1"/>
      <c r="J156" s="57"/>
      <c r="K156" s="48"/>
      <c r="L156" s="48"/>
      <c r="M156" s="48"/>
      <c r="N156" s="4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58"/>
      <c r="G157" s="17">
        <v>16000</v>
      </c>
      <c r="H157" s="18" t="s">
        <v>153</v>
      </c>
      <c r="I157" s="19"/>
      <c r="J157" s="57"/>
      <c r="K157" s="48"/>
      <c r="L157" s="48"/>
      <c r="M157" s="48"/>
      <c r="N157" s="4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55">
        <v>9</v>
      </c>
      <c r="G158" s="22">
        <v>16100</v>
      </c>
      <c r="H158" s="23" t="s">
        <v>154</v>
      </c>
      <c r="I158" s="1"/>
      <c r="J158" s="57"/>
      <c r="K158" s="48"/>
      <c r="L158" s="48"/>
      <c r="M158" s="48"/>
      <c r="N158" s="4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55">
        <v>9</v>
      </c>
      <c r="G159" s="22">
        <v>16200</v>
      </c>
      <c r="H159" s="23" t="s">
        <v>155</v>
      </c>
      <c r="I159" s="1"/>
      <c r="J159" s="57"/>
      <c r="K159" s="48"/>
      <c r="L159" s="48"/>
      <c r="M159" s="48"/>
      <c r="N159" s="4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55">
        <v>8</v>
      </c>
      <c r="G160" s="22">
        <v>16250</v>
      </c>
      <c r="H160" s="23" t="s">
        <v>156</v>
      </c>
      <c r="I160" s="1"/>
      <c r="J160" s="57"/>
      <c r="K160" s="48"/>
      <c r="L160" s="48"/>
      <c r="M160" s="48"/>
      <c r="N160" s="4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55">
        <v>10</v>
      </c>
      <c r="G161" s="22">
        <v>16300</v>
      </c>
      <c r="H161" s="23" t="s">
        <v>157</v>
      </c>
      <c r="I161" s="1"/>
      <c r="J161" s="57"/>
      <c r="K161" s="48"/>
      <c r="L161" s="48"/>
      <c r="M161" s="48"/>
      <c r="N161" s="4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55">
        <v>8</v>
      </c>
      <c r="G162" s="22">
        <v>16350</v>
      </c>
      <c r="H162" s="62" t="s">
        <v>158</v>
      </c>
      <c r="I162" s="1"/>
      <c r="J162" s="57"/>
      <c r="K162" s="48"/>
      <c r="L162" s="48"/>
      <c r="M162" s="48"/>
      <c r="N162" s="4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55">
        <v>10</v>
      </c>
      <c r="G163" s="22">
        <v>16400</v>
      </c>
      <c r="H163" s="23" t="s">
        <v>159</v>
      </c>
      <c r="I163" s="1"/>
      <c r="J163" s="57"/>
      <c r="K163" s="48"/>
      <c r="L163" s="48"/>
      <c r="M163" s="48"/>
      <c r="N163" s="4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55">
        <v>8</v>
      </c>
      <c r="G164" s="22">
        <v>16450</v>
      </c>
      <c r="H164" s="62" t="s">
        <v>160</v>
      </c>
      <c r="I164" s="1"/>
      <c r="J164" s="57"/>
      <c r="K164" s="48"/>
      <c r="L164" s="48"/>
      <c r="M164" s="48"/>
      <c r="N164" s="4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55">
        <v>10</v>
      </c>
      <c r="G165" s="22">
        <v>16500</v>
      </c>
      <c r="H165" s="23" t="s">
        <v>161</v>
      </c>
      <c r="I165" s="1"/>
      <c r="J165" s="57"/>
      <c r="K165" s="48"/>
      <c r="L165" s="48"/>
      <c r="M165" s="48"/>
      <c r="N165" s="4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55">
        <v>8</v>
      </c>
      <c r="G166" s="22">
        <v>16550</v>
      </c>
      <c r="H166" s="62" t="s">
        <v>162</v>
      </c>
      <c r="I166" s="1"/>
      <c r="J166" s="57"/>
      <c r="K166" s="48"/>
      <c r="L166" s="48"/>
      <c r="M166" s="48"/>
      <c r="N166" s="4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55">
        <v>10</v>
      </c>
      <c r="G167" s="22">
        <v>16600</v>
      </c>
      <c r="H167" s="23" t="s">
        <v>163</v>
      </c>
      <c r="I167" s="1"/>
      <c r="J167" s="57"/>
      <c r="K167" s="48"/>
      <c r="L167" s="48"/>
      <c r="M167" s="48"/>
      <c r="N167" s="4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55">
        <v>8</v>
      </c>
      <c r="G168" s="22">
        <v>16650</v>
      </c>
      <c r="H168" s="62" t="s">
        <v>164</v>
      </c>
      <c r="I168" s="1"/>
      <c r="J168" s="57"/>
      <c r="K168" s="48"/>
      <c r="L168" s="48"/>
      <c r="M168" s="48"/>
      <c r="N168" s="4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55">
        <v>10</v>
      </c>
      <c r="G169" s="22">
        <v>16700</v>
      </c>
      <c r="H169" s="23" t="s">
        <v>165</v>
      </c>
      <c r="I169" s="1"/>
      <c r="J169" s="57"/>
      <c r="K169" s="48"/>
      <c r="L169" s="48"/>
      <c r="M169" s="48"/>
      <c r="N169" s="4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55"/>
      <c r="G170" s="22"/>
      <c r="H170" s="18" t="s">
        <v>166</v>
      </c>
      <c r="I170" s="1"/>
      <c r="J170" s="57"/>
      <c r="K170" s="48"/>
      <c r="L170" s="48"/>
      <c r="M170" s="48"/>
      <c r="N170" s="4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55"/>
      <c r="G171" s="22"/>
      <c r="H171" s="23"/>
      <c r="I171" s="1"/>
      <c r="J171" s="57"/>
      <c r="K171" s="48"/>
      <c r="L171" s="48"/>
      <c r="M171" s="48"/>
      <c r="N171" s="4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55"/>
      <c r="G172" s="63" t="s">
        <v>167</v>
      </c>
      <c r="H172" s="23"/>
      <c r="I172" s="1"/>
      <c r="J172" s="57"/>
      <c r="K172" s="48"/>
      <c r="L172" s="48"/>
      <c r="M172" s="48"/>
      <c r="N172" s="4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55"/>
      <c r="G173" s="17">
        <v>20000</v>
      </c>
      <c r="H173" s="18" t="s">
        <v>168</v>
      </c>
      <c r="I173" s="1"/>
      <c r="J173" s="57"/>
      <c r="K173" s="48"/>
      <c r="L173" s="48"/>
      <c r="M173" s="48"/>
      <c r="N173" s="4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55">
        <v>12</v>
      </c>
      <c r="G174" s="22">
        <v>20100</v>
      </c>
      <c r="H174" s="23" t="s">
        <v>169</v>
      </c>
      <c r="I174" s="1"/>
      <c r="J174" s="57"/>
      <c r="K174" s="48"/>
      <c r="L174" s="48"/>
      <c r="M174" s="48"/>
      <c r="N174" s="4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55"/>
      <c r="G175" s="17">
        <v>21000</v>
      </c>
      <c r="H175" s="18" t="s">
        <v>170</v>
      </c>
      <c r="I175" s="1"/>
      <c r="J175" s="57"/>
      <c r="K175" s="48"/>
      <c r="L175" s="48"/>
      <c r="M175" s="48"/>
      <c r="N175" s="4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55">
        <v>15</v>
      </c>
      <c r="G176" s="22">
        <v>21100</v>
      </c>
      <c r="H176" s="23" t="s">
        <v>171</v>
      </c>
      <c r="I176" s="1"/>
      <c r="J176" s="57"/>
      <c r="K176" s="48"/>
      <c r="L176" s="48"/>
      <c r="M176" s="48"/>
      <c r="N176" s="4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55">
        <v>15</v>
      </c>
      <c r="G177" s="22">
        <v>21200</v>
      </c>
      <c r="H177" s="23" t="s">
        <v>172</v>
      </c>
      <c r="I177" s="1"/>
      <c r="J177" s="57"/>
      <c r="K177" s="48"/>
      <c r="L177" s="48"/>
      <c r="M177" s="48"/>
      <c r="N177" s="4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55">
        <v>15</v>
      </c>
      <c r="G178" s="22">
        <v>21300</v>
      </c>
      <c r="H178" s="23" t="s">
        <v>173</v>
      </c>
      <c r="I178" s="1"/>
      <c r="J178" s="57"/>
      <c r="K178" s="48"/>
      <c r="L178" s="48"/>
      <c r="M178" s="48"/>
      <c r="N178" s="4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55">
        <v>15</v>
      </c>
      <c r="G179" s="22">
        <v>21400</v>
      </c>
      <c r="H179" s="23" t="s">
        <v>174</v>
      </c>
      <c r="I179" s="1"/>
      <c r="J179" s="57"/>
      <c r="K179" s="48"/>
      <c r="L179" s="48"/>
      <c r="M179" s="48"/>
      <c r="N179" s="4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55">
        <v>15</v>
      </c>
      <c r="G180" s="22">
        <v>21500</v>
      </c>
      <c r="H180" s="23" t="s">
        <v>175</v>
      </c>
      <c r="I180" s="1"/>
      <c r="J180" s="57"/>
      <c r="K180" s="48"/>
      <c r="L180" s="48"/>
      <c r="M180" s="48"/>
      <c r="N180" s="4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58"/>
      <c r="G181" s="17">
        <v>24000</v>
      </c>
      <c r="H181" s="18" t="s">
        <v>176</v>
      </c>
      <c r="I181" s="19"/>
      <c r="J181" s="57"/>
      <c r="K181" s="48"/>
      <c r="L181" s="48"/>
      <c r="M181" s="48"/>
      <c r="N181" s="4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55">
        <v>15</v>
      </c>
      <c r="G182" s="22">
        <v>24100</v>
      </c>
      <c r="H182" s="23" t="s">
        <v>177</v>
      </c>
      <c r="I182" s="1"/>
      <c r="J182" s="57"/>
      <c r="K182" s="48"/>
      <c r="L182" s="48"/>
      <c r="M182" s="48"/>
      <c r="N182" s="4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55">
        <v>15</v>
      </c>
      <c r="G183" s="22">
        <v>24400</v>
      </c>
      <c r="H183" s="23" t="s">
        <v>178</v>
      </c>
      <c r="I183" s="1"/>
      <c r="J183" s="57"/>
      <c r="K183" s="48"/>
      <c r="L183" s="48"/>
      <c r="M183" s="48"/>
      <c r="N183" s="4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58"/>
      <c r="G184" s="17">
        <v>25000</v>
      </c>
      <c r="H184" s="18" t="s">
        <v>179</v>
      </c>
      <c r="I184" s="19"/>
      <c r="J184" s="57"/>
      <c r="K184" s="48"/>
      <c r="L184" s="48"/>
      <c r="M184" s="48"/>
      <c r="N184" s="4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55">
        <v>15</v>
      </c>
      <c r="G185" s="22">
        <v>25100</v>
      </c>
      <c r="H185" s="23" t="s">
        <v>180</v>
      </c>
      <c r="I185" s="1"/>
      <c r="J185" s="57"/>
      <c r="K185" s="48"/>
      <c r="L185" s="48"/>
      <c r="M185" s="48"/>
      <c r="N185" s="4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55">
        <v>14</v>
      </c>
      <c r="G186" s="22">
        <v>25300</v>
      </c>
      <c r="H186" s="23" t="s">
        <v>181</v>
      </c>
      <c r="I186" s="1"/>
      <c r="J186" s="57"/>
      <c r="K186" s="48"/>
      <c r="L186" s="48"/>
      <c r="M186" s="48"/>
      <c r="N186" s="4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55">
        <v>15</v>
      </c>
      <c r="G187" s="22">
        <v>25400</v>
      </c>
      <c r="H187" s="23" t="s">
        <v>182</v>
      </c>
      <c r="I187" s="1"/>
      <c r="J187" s="57"/>
      <c r="K187" s="48"/>
      <c r="L187" s="48"/>
      <c r="M187" s="48"/>
      <c r="N187" s="4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55">
        <v>15</v>
      </c>
      <c r="G188" s="22">
        <v>25500</v>
      </c>
      <c r="H188" s="23" t="s">
        <v>183</v>
      </c>
      <c r="I188" s="1"/>
      <c r="J188" s="57"/>
      <c r="K188" s="48"/>
      <c r="L188" s="48"/>
      <c r="M188" s="48"/>
      <c r="N188" s="4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55"/>
      <c r="G189" s="22"/>
      <c r="H189" s="18" t="s">
        <v>184</v>
      </c>
      <c r="I189" s="1"/>
      <c r="J189" s="57"/>
      <c r="K189" s="48"/>
      <c r="L189" s="48"/>
      <c r="M189" s="48"/>
      <c r="N189" s="4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55"/>
      <c r="G190" s="22"/>
      <c r="H190" s="23"/>
      <c r="I190" s="1"/>
      <c r="J190" s="57"/>
      <c r="K190" s="48"/>
      <c r="L190" s="48"/>
      <c r="M190" s="48"/>
      <c r="N190" s="4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55"/>
      <c r="G191" s="64" t="s">
        <v>185</v>
      </c>
      <c r="H191" s="23"/>
      <c r="I191" s="1"/>
      <c r="J191" s="57"/>
      <c r="K191" s="48"/>
      <c r="L191" s="48"/>
      <c r="M191" s="48"/>
      <c r="N191" s="4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55"/>
      <c r="G192" s="22"/>
      <c r="H192" s="23"/>
      <c r="I192" s="1"/>
      <c r="J192" s="57"/>
      <c r="K192" s="48"/>
      <c r="L192" s="48"/>
      <c r="M192" s="48"/>
      <c r="N192" s="4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55"/>
      <c r="G193" s="17">
        <v>30000</v>
      </c>
      <c r="H193" s="18" t="s">
        <v>186</v>
      </c>
      <c r="I193" s="1"/>
      <c r="J193" s="57"/>
      <c r="K193" s="48"/>
      <c r="L193" s="48"/>
      <c r="M193" s="48"/>
      <c r="N193" s="4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55"/>
      <c r="G194" s="22">
        <v>30100</v>
      </c>
      <c r="H194" s="23" t="s">
        <v>186</v>
      </c>
      <c r="I194" s="1"/>
      <c r="J194" s="65"/>
      <c r="K194" s="48"/>
      <c r="L194" s="48"/>
      <c r="M194" s="48"/>
      <c r="N194" s="4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55"/>
      <c r="G195" s="22">
        <v>30200</v>
      </c>
      <c r="H195" s="23" t="s">
        <v>187</v>
      </c>
      <c r="I195" s="1"/>
      <c r="J195" s="57"/>
      <c r="K195" s="48"/>
      <c r="L195" s="48"/>
      <c r="M195" s="48"/>
      <c r="N195" s="4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55"/>
      <c r="G196" s="22">
        <v>30300</v>
      </c>
      <c r="H196" s="23" t="s">
        <v>188</v>
      </c>
      <c r="I196" s="1"/>
      <c r="J196" s="57"/>
      <c r="K196" s="48"/>
      <c r="L196" s="48"/>
      <c r="M196" s="48"/>
      <c r="N196" s="4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55"/>
      <c r="G197" s="22">
        <v>30400</v>
      </c>
      <c r="H197" s="23" t="s">
        <v>189</v>
      </c>
      <c r="I197" s="1"/>
      <c r="J197" s="57"/>
      <c r="K197" s="48"/>
      <c r="L197" s="48"/>
      <c r="M197" s="48"/>
      <c r="N197" s="4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55"/>
      <c r="G198" s="22"/>
      <c r="H198" s="23"/>
      <c r="I198" s="1"/>
      <c r="J198" s="57"/>
      <c r="K198" s="48"/>
      <c r="L198" s="48"/>
      <c r="M198" s="48"/>
      <c r="N198" s="4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55"/>
      <c r="G199" s="17">
        <v>31000</v>
      </c>
      <c r="H199" s="18" t="s">
        <v>190</v>
      </c>
      <c r="I199" s="1"/>
      <c r="J199" s="57"/>
      <c r="K199" s="48"/>
      <c r="L199" s="48"/>
      <c r="M199" s="48"/>
      <c r="N199" s="4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55"/>
      <c r="G200" s="22">
        <v>31100</v>
      </c>
      <c r="H200" s="23" t="s">
        <v>191</v>
      </c>
      <c r="I200" s="1"/>
      <c r="J200" s="57"/>
      <c r="K200" s="48"/>
      <c r="L200" s="48"/>
      <c r="M200" s="48"/>
      <c r="N200" s="4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55"/>
      <c r="G201" s="22">
        <v>31200</v>
      </c>
      <c r="H201" s="23" t="s">
        <v>192</v>
      </c>
      <c r="I201" s="1"/>
      <c r="J201" s="57"/>
      <c r="K201" s="48"/>
      <c r="L201" s="48"/>
      <c r="M201" s="48"/>
      <c r="N201" s="4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55"/>
      <c r="G202" s="22"/>
      <c r="H202" s="23"/>
      <c r="I202" s="1"/>
      <c r="J202" s="57"/>
      <c r="K202" s="48"/>
      <c r="L202" s="48"/>
      <c r="M202" s="48"/>
      <c r="N202" s="4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55"/>
      <c r="G203" s="17">
        <v>32000</v>
      </c>
      <c r="H203" s="18" t="s">
        <v>193</v>
      </c>
      <c r="I203" s="1"/>
      <c r="J203" s="57"/>
      <c r="K203" s="48"/>
      <c r="L203" s="48"/>
      <c r="M203" s="48"/>
      <c r="N203" s="4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55"/>
      <c r="G204" s="66">
        <v>32100</v>
      </c>
      <c r="H204" s="22" t="s">
        <v>194</v>
      </c>
      <c r="I204" s="1"/>
      <c r="J204" s="57"/>
      <c r="K204" s="48"/>
      <c r="L204" s="48"/>
      <c r="M204" s="48"/>
      <c r="N204" s="4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67"/>
      <c r="G205" s="68"/>
      <c r="H205" s="63" t="s">
        <v>195</v>
      </c>
      <c r="I205" s="49"/>
      <c r="J205" s="57"/>
      <c r="K205" s="48"/>
      <c r="L205" s="48"/>
      <c r="M205" s="48"/>
      <c r="N205" s="4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ageMargins left="0.25" right="0.25" top="1.5" bottom="0.5" header="0" footer="0"/>
  <pageSetup fitToHeight="0" orientation="portrait"/>
  <headerFooter>
    <oddHeader>&amp;C FORM 1023, PART IX, PAGE 13 &amp;&amp; 14 FINANCIAL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E17" sqref="E17"/>
    </sheetView>
  </sheetViews>
  <sheetFormatPr baseColWidth="10" defaultColWidth="12.6640625" defaultRowHeight="15" customHeight="1" x14ac:dyDescent="0.15"/>
  <cols>
    <col min="1" max="1" width="6.6640625" customWidth="1"/>
    <col min="2" max="2" width="54.6640625" customWidth="1"/>
    <col min="3" max="3" width="16.33203125" customWidth="1"/>
    <col min="4" max="4" width="12.5" customWidth="1"/>
    <col min="5" max="5" width="12" customWidth="1"/>
    <col min="6" max="6" width="14.33203125" customWidth="1"/>
    <col min="7" max="7" width="14.33203125" hidden="1" customWidth="1"/>
    <col min="8" max="26" width="6.6640625" customWidth="1"/>
  </cols>
  <sheetData>
    <row r="1" spans="1:26" ht="39" customHeight="1" x14ac:dyDescent="0.15">
      <c r="A1" s="105" t="s">
        <v>196</v>
      </c>
      <c r="B1" s="106"/>
      <c r="C1" s="92" t="s">
        <v>197</v>
      </c>
      <c r="D1" s="93" t="s">
        <v>198</v>
      </c>
      <c r="E1" s="69" t="s">
        <v>199</v>
      </c>
      <c r="F1" s="69" t="s">
        <v>200</v>
      </c>
      <c r="G1" s="69" t="s">
        <v>201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70"/>
      <c r="B2" s="1"/>
      <c r="C2" s="14"/>
      <c r="D2" s="15"/>
      <c r="E2" s="15"/>
      <c r="F2" s="15"/>
      <c r="G2" s="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70"/>
      <c r="B3" s="1"/>
      <c r="C3" s="14"/>
      <c r="D3" s="15"/>
      <c r="E3" s="15"/>
      <c r="F3" s="15"/>
      <c r="G3" s="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70" t="s">
        <v>202</v>
      </c>
      <c r="B4" s="71" t="s">
        <v>203</v>
      </c>
      <c r="C4" s="72"/>
      <c r="D4" s="73"/>
      <c r="E4" s="73"/>
      <c r="F4" s="73"/>
      <c r="G4" s="7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70"/>
      <c r="B5" s="49"/>
      <c r="C5" s="72"/>
      <c r="D5" s="73"/>
      <c r="E5" s="73"/>
      <c r="F5" s="73"/>
      <c r="G5" s="7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70"/>
      <c r="B6" s="74" t="s">
        <v>220</v>
      </c>
      <c r="C6" s="72">
        <v>0</v>
      </c>
      <c r="D6" s="73">
        <v>0</v>
      </c>
      <c r="E6" s="73">
        <v>0</v>
      </c>
      <c r="F6" s="73">
        <v>150000</v>
      </c>
      <c r="G6" s="73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70"/>
      <c r="B7" s="102" t="s">
        <v>221</v>
      </c>
      <c r="C7" s="75">
        <v>0</v>
      </c>
      <c r="D7" s="57">
        <v>25000</v>
      </c>
      <c r="E7" s="57">
        <v>110000</v>
      </c>
      <c r="F7" s="57">
        <v>110000</v>
      </c>
      <c r="G7" s="5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customHeight="1" x14ac:dyDescent="0.15"/>
    <row r="9" spans="1:26" ht="15" hidden="1" customHeight="1" x14ac:dyDescent="0.15"/>
    <row r="10" spans="1:26" ht="15" hidden="1" customHeight="1" x14ac:dyDescent="0.15"/>
    <row r="11" spans="1:26" ht="12" hidden="1" customHeight="1" x14ac:dyDescent="0.15">
      <c r="A11" s="70"/>
      <c r="B11" s="1"/>
      <c r="C11" s="76"/>
      <c r="D11" s="77"/>
      <c r="E11" s="77"/>
      <c r="F11" s="77"/>
      <c r="G11" s="7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78">
        <v>51100</v>
      </c>
      <c r="B12" s="79" t="s">
        <v>204</v>
      </c>
      <c r="C12" s="80">
        <f>SUM(C6:C11)</f>
        <v>0</v>
      </c>
      <c r="D12" s="81">
        <f>SUM(D6:D11)</f>
        <v>25000</v>
      </c>
      <c r="E12" s="81">
        <f>SUM(E6:E11)</f>
        <v>110000</v>
      </c>
      <c r="F12" s="81">
        <f>SUM(F6:F11)</f>
        <v>260000</v>
      </c>
      <c r="G12" s="81">
        <f>SUM(G6:G11)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70"/>
      <c r="B13" s="1"/>
      <c r="C13" s="76"/>
      <c r="D13" s="77"/>
      <c r="E13" s="77"/>
      <c r="F13" s="77"/>
      <c r="G13" s="7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70" t="s">
        <v>205</v>
      </c>
      <c r="B14" s="71" t="s">
        <v>206</v>
      </c>
      <c r="C14" s="72"/>
      <c r="D14" s="73"/>
      <c r="E14" s="73"/>
      <c r="F14" s="73"/>
      <c r="G14" s="7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70"/>
      <c r="B15" s="74"/>
      <c r="C15" s="72"/>
      <c r="D15" s="73"/>
      <c r="E15" s="73"/>
      <c r="F15" s="73"/>
      <c r="G15" s="7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70"/>
      <c r="B16" s="102" t="s">
        <v>222</v>
      </c>
      <c r="C16" s="75">
        <v>0</v>
      </c>
      <c r="D16" s="57">
        <v>0</v>
      </c>
      <c r="E16" s="57">
        <v>98000</v>
      </c>
      <c r="F16" s="57">
        <v>98000</v>
      </c>
      <c r="G16" s="5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70"/>
      <c r="B17" s="94" t="s">
        <v>207</v>
      </c>
      <c r="C17" s="75">
        <v>0</v>
      </c>
      <c r="D17" s="57">
        <v>0</v>
      </c>
      <c r="E17" s="57">
        <v>95000</v>
      </c>
      <c r="F17" s="57">
        <v>95000</v>
      </c>
      <c r="G17" s="5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70"/>
      <c r="B18" s="95" t="s">
        <v>207</v>
      </c>
      <c r="C18" s="57">
        <v>0</v>
      </c>
      <c r="D18" s="57">
        <v>0</v>
      </c>
      <c r="E18" s="57">
        <v>95000</v>
      </c>
      <c r="F18" s="57">
        <v>95000</v>
      </c>
      <c r="G18" s="5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70"/>
      <c r="B19" s="1"/>
      <c r="C19" s="72"/>
      <c r="D19" s="73"/>
      <c r="E19" s="73"/>
      <c r="F19" s="73"/>
      <c r="G19" s="7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78">
        <v>51200</v>
      </c>
      <c r="B20" s="79" t="s">
        <v>208</v>
      </c>
      <c r="C20" s="82">
        <f>SUM(C15:C19)</f>
        <v>0</v>
      </c>
      <c r="D20" s="82">
        <f>SUM(D15:D19)</f>
        <v>0</v>
      </c>
      <c r="E20" s="83">
        <f>SUM(E15:E19)</f>
        <v>288000</v>
      </c>
      <c r="F20" s="83">
        <f>SUM(F15:F19)</f>
        <v>288000</v>
      </c>
      <c r="G20" s="83">
        <f>SUM(G15:G19)</f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84"/>
      <c r="D21" s="84"/>
      <c r="E21" s="8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91"/>
      <c r="C22" s="84"/>
      <c r="D22" s="84"/>
      <c r="E22" s="8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91"/>
      <c r="C23" s="84"/>
      <c r="D23" s="84"/>
      <c r="E23" s="8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91"/>
      <c r="C24" s="84"/>
      <c r="D24" s="84"/>
      <c r="E24" s="8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9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9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9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9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9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>
        <f>SUM(D44:D147)</f>
        <v>0</v>
      </c>
      <c r="E148" s="1">
        <f>SUM(E44:E147)</f>
        <v>0</v>
      </c>
      <c r="F148" s="1">
        <f>SUM(F44:F147)</f>
        <v>0</v>
      </c>
      <c r="G148" s="1">
        <f>SUM(G44:G147)</f>
        <v>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B1"/>
  </mergeCells>
  <pageMargins left="0.25" right="0.25" top="1.5" bottom="0.5" header="0" footer="0"/>
  <pageSetup scale="88" orientation="portrait"/>
  <headerFooter>
    <oddHeader>&amp;C  FORM 1023, PART IX, PAGE 13 &amp;&amp; 14 FINANCIAL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F1" workbookViewId="0"/>
  </sheetViews>
  <sheetFormatPr baseColWidth="10" defaultColWidth="12.6640625" defaultRowHeight="15" customHeight="1" x14ac:dyDescent="0.15"/>
  <cols>
    <col min="1" max="1" width="9.33203125" hidden="1" customWidth="1"/>
    <col min="2" max="5" width="10.33203125" hidden="1" customWidth="1"/>
    <col min="6" max="6" width="7.6640625" customWidth="1"/>
    <col min="7" max="7" width="6.6640625" customWidth="1"/>
    <col min="8" max="8" width="46" customWidth="1"/>
    <col min="9" max="9" width="2" customWidth="1"/>
    <col min="10" max="10" width="15.6640625" customWidth="1"/>
    <col min="11" max="11" width="13.33203125" customWidth="1"/>
    <col min="12" max="12" width="12.6640625" customWidth="1"/>
    <col min="13" max="13" width="15.33203125" customWidth="1"/>
    <col min="14" max="26" width="9.33203125" customWidth="1"/>
  </cols>
  <sheetData>
    <row r="1" spans="1:26" ht="12" customHeight="1" x14ac:dyDescent="0.2">
      <c r="A1" s="1"/>
      <c r="B1" s="1"/>
      <c r="C1" s="1"/>
      <c r="D1" s="1"/>
      <c r="E1" s="1"/>
      <c r="F1" s="97"/>
      <c r="G1" s="98"/>
      <c r="H1" s="99" t="s">
        <v>0</v>
      </c>
      <c r="I1" s="98"/>
      <c r="J1" s="100" t="s">
        <v>1</v>
      </c>
      <c r="K1" s="100"/>
      <c r="L1" s="100"/>
      <c r="M1" s="10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15">
      <c r="A2" s="1"/>
      <c r="B2" s="1"/>
      <c r="C2" s="1"/>
      <c r="D2" s="1"/>
      <c r="E2" s="1"/>
      <c r="F2" s="2"/>
      <c r="G2" s="1"/>
      <c r="H2" s="1"/>
      <c r="I2" s="1"/>
      <c r="J2" s="3" t="s">
        <v>4</v>
      </c>
      <c r="K2" s="4" t="s">
        <v>4</v>
      </c>
      <c r="L2" s="5" t="s">
        <v>4</v>
      </c>
      <c r="M2" s="5" t="s">
        <v>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15">
      <c r="A3" s="1"/>
      <c r="B3" s="1"/>
      <c r="C3" s="1"/>
      <c r="D3" s="1"/>
      <c r="E3" s="1"/>
      <c r="F3" s="2"/>
      <c r="G3" s="1"/>
      <c r="H3" s="1"/>
      <c r="I3" s="1"/>
      <c r="J3" s="6">
        <v>43831</v>
      </c>
      <c r="K3" s="7">
        <v>44197</v>
      </c>
      <c r="L3" s="8">
        <v>44562</v>
      </c>
      <c r="M3" s="8">
        <v>44927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15">
      <c r="A4" s="1"/>
      <c r="B4" s="1"/>
      <c r="C4" s="1"/>
      <c r="D4" s="1"/>
      <c r="E4" s="1"/>
      <c r="F4" s="2"/>
      <c r="G4" s="9"/>
      <c r="H4" s="9"/>
      <c r="I4" s="1"/>
      <c r="J4" s="10">
        <v>44196</v>
      </c>
      <c r="K4" s="11">
        <v>44561</v>
      </c>
      <c r="L4" s="12">
        <v>44926</v>
      </c>
      <c r="M4" s="12">
        <v>45291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15">
      <c r="A5" s="1"/>
      <c r="B5" s="1"/>
      <c r="C5" s="1"/>
      <c r="D5" s="1"/>
      <c r="E5" s="1"/>
      <c r="F5" s="2"/>
      <c r="G5" s="13"/>
      <c r="H5" s="13" t="s">
        <v>5</v>
      </c>
      <c r="I5" s="1"/>
      <c r="J5" s="14"/>
      <c r="K5" s="15"/>
      <c r="L5" s="16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15">
      <c r="A6" s="1"/>
      <c r="B6" s="1" t="s">
        <v>6</v>
      </c>
      <c r="C6" s="1"/>
      <c r="D6" s="1"/>
      <c r="E6" s="1"/>
      <c r="F6" s="9"/>
      <c r="G6" s="17">
        <v>40000</v>
      </c>
      <c r="H6" s="18" t="s">
        <v>7</v>
      </c>
      <c r="I6" s="19"/>
      <c r="J6" s="20"/>
      <c r="K6" s="20"/>
      <c r="L6" s="20"/>
      <c r="M6" s="2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15">
      <c r="A7" s="1">
        <v>1</v>
      </c>
      <c r="B7" s="21">
        <f>J7+J8</f>
        <v>0</v>
      </c>
      <c r="C7" s="21" t="e">
        <f>#REF!+#REF!</f>
        <v>#REF!</v>
      </c>
      <c r="D7" s="21">
        <f>K7+K8</f>
        <v>0</v>
      </c>
      <c r="E7" s="21">
        <f>L7+L8</f>
        <v>0</v>
      </c>
      <c r="F7" s="2">
        <v>1</v>
      </c>
      <c r="G7" s="22">
        <v>40100</v>
      </c>
      <c r="H7" s="23" t="s">
        <v>8</v>
      </c>
      <c r="I7" s="1"/>
      <c r="J7" s="20"/>
      <c r="K7" s="20"/>
      <c r="L7" s="20"/>
      <c r="M7" s="2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15">
      <c r="A8" s="1">
        <v>2</v>
      </c>
      <c r="B8" s="21">
        <f>J11</f>
        <v>0</v>
      </c>
      <c r="C8" s="21" t="e">
        <f>#REF!</f>
        <v>#REF!</v>
      </c>
      <c r="D8" s="21">
        <f>K11</f>
        <v>0</v>
      </c>
      <c r="E8" s="21">
        <f>L11</f>
        <v>0</v>
      </c>
      <c r="F8" s="2">
        <v>1</v>
      </c>
      <c r="G8" s="22">
        <v>40200</v>
      </c>
      <c r="H8" s="23" t="s">
        <v>9</v>
      </c>
      <c r="I8" s="1"/>
      <c r="J8" s="20"/>
      <c r="K8" s="20"/>
      <c r="L8" s="20"/>
      <c r="M8" s="2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15">
      <c r="A9" s="1">
        <v>3</v>
      </c>
      <c r="B9" s="21">
        <f>J13</f>
        <v>0</v>
      </c>
      <c r="C9" s="21" t="e">
        <f>#REF!</f>
        <v>#REF!</v>
      </c>
      <c r="D9" s="21">
        <f>K13</f>
        <v>0</v>
      </c>
      <c r="E9" s="21">
        <f>L13</f>
        <v>0</v>
      </c>
      <c r="F9" s="2"/>
      <c r="G9" s="22"/>
      <c r="H9" s="25" t="s">
        <v>10</v>
      </c>
      <c r="I9" s="1"/>
      <c r="J9" s="85">
        <f>SUM(J7:J8)</f>
        <v>0</v>
      </c>
      <c r="K9" s="85">
        <f>SUM(K7:K8)</f>
        <v>0</v>
      </c>
      <c r="L9" s="85">
        <f>SUM(L7:L8)</f>
        <v>0</v>
      </c>
      <c r="M9" s="85">
        <f>SUM(M7:M8)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15">
      <c r="A10" s="1"/>
      <c r="B10" s="1"/>
      <c r="C10" s="1"/>
      <c r="D10" s="1"/>
      <c r="E10" s="1"/>
      <c r="F10" s="2"/>
      <c r="G10" s="17">
        <v>46000</v>
      </c>
      <c r="H10" s="18" t="s">
        <v>11</v>
      </c>
      <c r="I10" s="1"/>
      <c r="J10" s="20"/>
      <c r="K10" s="20"/>
      <c r="L10" s="20"/>
      <c r="M10" s="2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15">
      <c r="A11" s="1"/>
      <c r="B11" s="1"/>
      <c r="C11" s="1"/>
      <c r="D11" s="1"/>
      <c r="E11" s="1"/>
      <c r="F11" s="2">
        <v>2</v>
      </c>
      <c r="G11" s="22">
        <v>46100</v>
      </c>
      <c r="H11" s="23" t="s">
        <v>209</v>
      </c>
      <c r="I11" s="1"/>
      <c r="J11" s="85"/>
      <c r="K11" s="85"/>
      <c r="L11" s="85"/>
      <c r="M11" s="8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15">
      <c r="A12" s="1"/>
      <c r="B12" s="1"/>
      <c r="C12" s="1"/>
      <c r="D12" s="1"/>
      <c r="E12" s="1"/>
      <c r="F12" s="9"/>
      <c r="G12" s="17">
        <v>48000</v>
      </c>
      <c r="H12" s="18" t="s">
        <v>13</v>
      </c>
      <c r="I12" s="19"/>
      <c r="J12" s="20"/>
      <c r="K12" s="20"/>
      <c r="L12" s="20"/>
      <c r="M12" s="2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15">
      <c r="A13" s="1"/>
      <c r="B13" s="1"/>
      <c r="C13" s="1"/>
      <c r="D13" s="1"/>
      <c r="E13" s="1"/>
      <c r="F13" s="2">
        <v>3</v>
      </c>
      <c r="G13" s="22">
        <v>48100</v>
      </c>
      <c r="H13" s="23" t="s">
        <v>14</v>
      </c>
      <c r="I13" s="1"/>
      <c r="J13" s="85"/>
      <c r="K13" s="85"/>
      <c r="L13" s="85"/>
      <c r="M13" s="8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15">
      <c r="A14" s="1"/>
      <c r="B14" s="1"/>
      <c r="C14" s="1"/>
      <c r="D14" s="1"/>
      <c r="E14" s="1"/>
      <c r="F14" s="2">
        <v>4</v>
      </c>
      <c r="G14" s="22">
        <v>49500</v>
      </c>
      <c r="H14" s="27" t="s">
        <v>15</v>
      </c>
      <c r="I14" s="1"/>
      <c r="J14" s="86"/>
      <c r="K14" s="86"/>
      <c r="L14" s="86"/>
      <c r="M14" s="8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15">
      <c r="A15" s="1">
        <v>4</v>
      </c>
      <c r="B15" s="21">
        <f>J14</f>
        <v>0</v>
      </c>
      <c r="C15" s="21" t="e">
        <f>#REF!</f>
        <v>#REF!</v>
      </c>
      <c r="D15" s="21">
        <f>K14</f>
        <v>0</v>
      </c>
      <c r="E15" s="21">
        <f>L14</f>
        <v>0</v>
      </c>
      <c r="F15" s="9"/>
      <c r="G15" s="17">
        <v>41000</v>
      </c>
      <c r="H15" s="18" t="s">
        <v>16</v>
      </c>
      <c r="I15" s="19"/>
      <c r="J15" s="20"/>
      <c r="K15" s="20"/>
      <c r="L15" s="20"/>
      <c r="M15" s="2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15">
      <c r="A16" s="1">
        <v>9</v>
      </c>
      <c r="B16" s="21">
        <f>J18+J19+J20+J21+J22+J25+J26+J27+J28+J29+J32+J33</f>
        <v>0</v>
      </c>
      <c r="C16" s="21" t="e">
        <f>#REF!+#REF!+#REF!+#REF!+#REF!+#REF!+#REF!+#REF!+#REF!+#REF!+#REF!+#REF!</f>
        <v>#REF!</v>
      </c>
      <c r="D16" s="21">
        <f>K18+K19+K20+K21+K22+K25+K26+K27+K28+K29+K32+K33</f>
        <v>0</v>
      </c>
      <c r="E16" s="21">
        <f>L18+L19+L20+L21+L22+L25+L26+L27+L28+L29+L32+L33</f>
        <v>0</v>
      </c>
      <c r="F16" s="2">
        <v>7</v>
      </c>
      <c r="G16" s="22">
        <v>41100</v>
      </c>
      <c r="H16" s="23" t="s">
        <v>17</v>
      </c>
      <c r="I16" s="1"/>
      <c r="J16" s="85"/>
      <c r="K16" s="85"/>
      <c r="L16" s="85"/>
      <c r="M16" s="8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15">
      <c r="A17" s="1"/>
      <c r="B17" s="1"/>
      <c r="C17" s="1"/>
      <c r="D17" s="1"/>
      <c r="E17" s="1"/>
      <c r="F17" s="9">
        <v>9</v>
      </c>
      <c r="G17" s="17">
        <v>45000</v>
      </c>
      <c r="H17" s="18" t="s">
        <v>18</v>
      </c>
      <c r="I17" s="19"/>
      <c r="J17" s="20"/>
      <c r="K17" s="20"/>
      <c r="L17" s="20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15">
      <c r="A18" s="1"/>
      <c r="B18" s="1"/>
      <c r="C18" s="1"/>
      <c r="D18" s="1"/>
      <c r="E18" s="1"/>
      <c r="F18" s="2"/>
      <c r="G18" s="22">
        <v>45100</v>
      </c>
      <c r="H18" s="23" t="s">
        <v>210</v>
      </c>
      <c r="I18" s="1"/>
      <c r="J18" s="20"/>
      <c r="K18" s="20"/>
      <c r="L18" s="20"/>
      <c r="M18" s="2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15">
      <c r="A19" s="1"/>
      <c r="B19" s="1"/>
      <c r="C19" s="1"/>
      <c r="D19" s="1"/>
      <c r="E19" s="1"/>
      <c r="F19" s="2"/>
      <c r="G19" s="22">
        <v>45200</v>
      </c>
      <c r="H19" s="23" t="s">
        <v>211</v>
      </c>
      <c r="I19" s="1"/>
      <c r="J19" s="20"/>
      <c r="K19" s="20"/>
      <c r="L19" s="20"/>
      <c r="M19" s="2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15">
      <c r="A20" s="1"/>
      <c r="B20" s="1"/>
      <c r="C20" s="1"/>
      <c r="D20" s="1"/>
      <c r="E20" s="1"/>
      <c r="F20" s="2"/>
      <c r="G20" s="22">
        <v>45300</v>
      </c>
      <c r="H20" s="23" t="s">
        <v>212</v>
      </c>
      <c r="I20" s="1"/>
      <c r="J20" s="20"/>
      <c r="K20" s="20"/>
      <c r="L20" s="20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15">
      <c r="A21" s="1"/>
      <c r="B21" s="1"/>
      <c r="C21" s="1"/>
      <c r="D21" s="1"/>
      <c r="E21" s="1"/>
      <c r="F21" s="2"/>
      <c r="G21" s="22">
        <v>45400</v>
      </c>
      <c r="H21" s="23" t="s">
        <v>22</v>
      </c>
      <c r="I21" s="1"/>
      <c r="J21" s="20"/>
      <c r="K21" s="20"/>
      <c r="L21" s="20"/>
      <c r="M21" s="2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15">
      <c r="A22" s="1"/>
      <c r="B22" s="1"/>
      <c r="C22" s="1"/>
      <c r="D22" s="1"/>
      <c r="E22" s="1"/>
      <c r="F22" s="2"/>
      <c r="G22" s="22">
        <v>45500</v>
      </c>
      <c r="H22" s="23" t="s">
        <v>23</v>
      </c>
      <c r="I22" s="1"/>
      <c r="J22" s="20"/>
      <c r="K22" s="20"/>
      <c r="L22" s="20"/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15">
      <c r="A23" s="1"/>
      <c r="B23" s="1"/>
      <c r="C23" s="1"/>
      <c r="D23" s="1"/>
      <c r="E23" s="1"/>
      <c r="F23" s="2"/>
      <c r="G23" s="22"/>
      <c r="H23" s="23"/>
      <c r="I23" s="1"/>
      <c r="J23" s="20"/>
      <c r="K23" s="20"/>
      <c r="L23" s="20"/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15">
      <c r="A24" s="1"/>
      <c r="B24" s="1"/>
      <c r="C24" s="1"/>
      <c r="D24" s="1"/>
      <c r="E24" s="1"/>
      <c r="F24" s="9"/>
      <c r="G24" s="17">
        <v>47000</v>
      </c>
      <c r="H24" s="18" t="s">
        <v>24</v>
      </c>
      <c r="I24" s="19"/>
      <c r="J24" s="20"/>
      <c r="K24" s="20"/>
      <c r="L24" s="20"/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15">
      <c r="A25" s="1"/>
      <c r="B25" s="1"/>
      <c r="C25" s="1"/>
      <c r="D25" s="1"/>
      <c r="E25" s="1"/>
      <c r="F25" s="2">
        <v>9</v>
      </c>
      <c r="G25" s="22">
        <v>47100</v>
      </c>
      <c r="H25" s="23" t="s">
        <v>25</v>
      </c>
      <c r="I25" s="1"/>
      <c r="J25" s="20"/>
      <c r="K25" s="20"/>
      <c r="L25" s="20"/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15">
      <c r="A26" s="1"/>
      <c r="B26" s="1"/>
      <c r="C26" s="1"/>
      <c r="D26" s="1"/>
      <c r="E26" s="1"/>
      <c r="F26" s="2">
        <v>9</v>
      </c>
      <c r="G26" s="22">
        <v>47200</v>
      </c>
      <c r="H26" s="23" t="s">
        <v>26</v>
      </c>
      <c r="I26" s="1"/>
      <c r="J26" s="20"/>
      <c r="K26" s="20"/>
      <c r="L26" s="20"/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15">
      <c r="A27" s="1"/>
      <c r="B27" s="1"/>
      <c r="C27" s="1"/>
      <c r="D27" s="1"/>
      <c r="E27" s="1"/>
      <c r="F27" s="2">
        <v>9</v>
      </c>
      <c r="G27" s="22">
        <v>47300</v>
      </c>
      <c r="H27" s="23" t="s">
        <v>27</v>
      </c>
      <c r="I27" s="1"/>
      <c r="J27" s="20"/>
      <c r="K27" s="20"/>
      <c r="L27" s="20"/>
      <c r="M27" s="2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15">
      <c r="A28" s="1"/>
      <c r="B28" s="1"/>
      <c r="C28" s="1"/>
      <c r="D28" s="1"/>
      <c r="E28" s="1"/>
      <c r="F28" s="2">
        <v>9</v>
      </c>
      <c r="G28" s="22">
        <v>47400</v>
      </c>
      <c r="H28" s="23" t="s">
        <v>28</v>
      </c>
      <c r="I28" s="1"/>
      <c r="J28" s="20"/>
      <c r="K28" s="20"/>
      <c r="L28" s="20"/>
      <c r="M28" s="2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15">
      <c r="A29" s="1"/>
      <c r="B29" s="1"/>
      <c r="C29" s="1"/>
      <c r="D29" s="1"/>
      <c r="E29" s="1"/>
      <c r="F29" s="2">
        <v>9</v>
      </c>
      <c r="G29" s="22">
        <v>47500</v>
      </c>
      <c r="H29" s="23" t="s">
        <v>29</v>
      </c>
      <c r="I29" s="1"/>
      <c r="J29" s="20"/>
      <c r="K29" s="20"/>
      <c r="L29" s="20"/>
      <c r="M29" s="2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15">
      <c r="A30" s="1"/>
      <c r="B30" s="1"/>
      <c r="C30" s="1"/>
      <c r="D30" s="1"/>
      <c r="E30" s="1"/>
      <c r="F30" s="29"/>
      <c r="G30" s="30"/>
      <c r="H30" s="31"/>
      <c r="I30" s="32"/>
      <c r="J30" s="20"/>
      <c r="K30" s="20"/>
      <c r="L30" s="20"/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15">
      <c r="A31" s="1"/>
      <c r="B31" s="1"/>
      <c r="C31" s="1"/>
      <c r="D31" s="1"/>
      <c r="E31" s="1"/>
      <c r="F31" s="9"/>
      <c r="G31" s="17">
        <v>49000</v>
      </c>
      <c r="H31" s="18" t="s">
        <v>30</v>
      </c>
      <c r="I31" s="19"/>
      <c r="J31" s="20"/>
      <c r="K31" s="20"/>
      <c r="L31" s="20"/>
      <c r="M31" s="2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15">
      <c r="A32" s="1"/>
      <c r="B32" s="1"/>
      <c r="C32" s="1"/>
      <c r="D32" s="1"/>
      <c r="E32" s="1"/>
      <c r="F32" s="2">
        <v>9</v>
      </c>
      <c r="G32" s="22">
        <v>49100</v>
      </c>
      <c r="H32" s="23" t="s">
        <v>31</v>
      </c>
      <c r="I32" s="1"/>
      <c r="J32" s="20"/>
      <c r="K32" s="20"/>
      <c r="L32" s="20"/>
      <c r="M32" s="2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15">
      <c r="A33" s="1"/>
      <c r="B33" s="1"/>
      <c r="C33" s="1"/>
      <c r="D33" s="1"/>
      <c r="E33" s="1"/>
      <c r="F33" s="2">
        <v>9</v>
      </c>
      <c r="G33" s="22">
        <v>49200</v>
      </c>
      <c r="H33" s="23" t="s">
        <v>32</v>
      </c>
      <c r="I33" s="1"/>
      <c r="J33" s="20"/>
      <c r="K33" s="20"/>
      <c r="L33" s="20"/>
      <c r="M33" s="2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15">
      <c r="A34" s="1"/>
      <c r="B34" s="1"/>
      <c r="C34" s="1"/>
      <c r="D34" s="1"/>
      <c r="E34" s="1"/>
      <c r="F34" s="2"/>
      <c r="G34" s="16"/>
      <c r="H34" s="33" t="s">
        <v>33</v>
      </c>
      <c r="I34" s="1"/>
      <c r="J34" s="86">
        <f>SUM(J18:J33)</f>
        <v>0</v>
      </c>
      <c r="K34" s="86">
        <f>SUM(K18:K33)</f>
        <v>0</v>
      </c>
      <c r="L34" s="86">
        <f>SUM(L18:L33)</f>
        <v>0</v>
      </c>
      <c r="M34" s="86">
        <f>SUM(M18:M33)</f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15">
      <c r="A35" s="1"/>
      <c r="B35" s="1"/>
      <c r="C35" s="1"/>
      <c r="D35" s="1"/>
      <c r="E35" s="1"/>
      <c r="F35" s="2">
        <v>13</v>
      </c>
      <c r="G35" s="34"/>
      <c r="H35" s="35" t="s">
        <v>34</v>
      </c>
      <c r="I35" s="36"/>
      <c r="J35" s="87">
        <f>J34+J16+J14+J13+J11+J9</f>
        <v>0</v>
      </c>
      <c r="K35" s="87">
        <f>K34+K16+K14+K13+K11+K9</f>
        <v>0</v>
      </c>
      <c r="L35" s="87">
        <f>L34+L16+L14+L13+L11+L9</f>
        <v>0</v>
      </c>
      <c r="M35" s="87">
        <f>M34+M16+M14+M13+M11+M9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15">
      <c r="A36" s="1"/>
      <c r="B36" s="1" t="s">
        <v>35</v>
      </c>
      <c r="C36" s="1"/>
      <c r="D36" s="1"/>
      <c r="E36" s="1"/>
      <c r="F36" s="2"/>
      <c r="G36" s="1"/>
      <c r="H36" s="1"/>
      <c r="I36" s="1"/>
      <c r="J36" s="21"/>
      <c r="K36" s="21"/>
      <c r="L36" s="21"/>
      <c r="M36" s="2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15">
      <c r="A37" s="1"/>
      <c r="B37" s="1"/>
      <c r="C37" s="1"/>
      <c r="D37" s="1"/>
      <c r="E37" s="1"/>
      <c r="F37" s="2"/>
      <c r="G37" s="39"/>
      <c r="H37" s="39" t="s">
        <v>36</v>
      </c>
      <c r="I37" s="1"/>
      <c r="J37" s="21"/>
      <c r="K37" s="21"/>
      <c r="L37" s="21"/>
      <c r="M37" s="2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1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15">
      <c r="A39" s="1"/>
      <c r="B39" s="1"/>
      <c r="C39" s="1"/>
      <c r="D39" s="1"/>
      <c r="E39" s="1"/>
      <c r="F39" s="2"/>
      <c r="G39" s="17">
        <v>70000</v>
      </c>
      <c r="H39" s="18" t="s">
        <v>37</v>
      </c>
      <c r="I39" s="1"/>
      <c r="J39" s="20"/>
      <c r="K39" s="20"/>
      <c r="L39" s="20"/>
      <c r="M39" s="2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15">
      <c r="A40" s="1"/>
      <c r="B40" s="1"/>
      <c r="C40" s="1"/>
      <c r="D40" s="1"/>
      <c r="E40" s="1"/>
      <c r="F40" s="2">
        <v>14</v>
      </c>
      <c r="G40" s="40">
        <v>71000</v>
      </c>
      <c r="H40" s="23" t="s">
        <v>38</v>
      </c>
      <c r="I40" s="1"/>
      <c r="J40" s="20"/>
      <c r="K40" s="20"/>
      <c r="L40" s="20"/>
      <c r="M40" s="2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15">
      <c r="A41" s="1"/>
      <c r="B41" s="1"/>
      <c r="C41" s="1"/>
      <c r="D41" s="1"/>
      <c r="E41" s="1"/>
      <c r="F41" s="2">
        <v>14</v>
      </c>
      <c r="G41" s="22">
        <v>71100</v>
      </c>
      <c r="H41" s="23" t="s">
        <v>39</v>
      </c>
      <c r="I41" s="1"/>
      <c r="J41" s="20"/>
      <c r="K41" s="20"/>
      <c r="L41" s="20"/>
      <c r="M41" s="2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15">
      <c r="A42" s="1"/>
      <c r="B42" s="1"/>
      <c r="C42" s="1"/>
      <c r="D42" s="1"/>
      <c r="E42" s="1"/>
      <c r="F42" s="2">
        <v>14</v>
      </c>
      <c r="G42" s="22">
        <v>71200</v>
      </c>
      <c r="H42" s="41" t="s">
        <v>40</v>
      </c>
      <c r="I42" s="1"/>
      <c r="J42" s="20"/>
      <c r="K42" s="20"/>
      <c r="L42" s="20"/>
      <c r="M42" s="2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15">
      <c r="A43" s="1"/>
      <c r="B43" s="1"/>
      <c r="C43" s="1"/>
      <c r="D43" s="1"/>
      <c r="E43" s="1"/>
      <c r="F43" s="2">
        <v>14</v>
      </c>
      <c r="G43" s="22">
        <v>71300</v>
      </c>
      <c r="H43" s="23" t="s">
        <v>41</v>
      </c>
      <c r="I43" s="1"/>
      <c r="J43" s="20"/>
      <c r="K43" s="20"/>
      <c r="L43" s="20"/>
      <c r="M43" s="2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15">
      <c r="A44" s="1"/>
      <c r="B44" s="1"/>
      <c r="C44" s="1"/>
      <c r="D44" s="1"/>
      <c r="E44" s="1"/>
      <c r="F44" s="2">
        <v>14</v>
      </c>
      <c r="G44" s="22">
        <v>71400</v>
      </c>
      <c r="H44" s="23" t="s">
        <v>42</v>
      </c>
      <c r="I44" s="1"/>
      <c r="J44" s="20"/>
      <c r="K44" s="20"/>
      <c r="L44" s="20"/>
      <c r="M44" s="2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15">
      <c r="A45" s="1"/>
      <c r="B45" s="1"/>
      <c r="C45" s="1"/>
      <c r="D45" s="1"/>
      <c r="E45" s="1"/>
      <c r="F45" s="2">
        <v>14</v>
      </c>
      <c r="G45" s="22">
        <v>71500</v>
      </c>
      <c r="H45" s="23" t="s">
        <v>43</v>
      </c>
      <c r="I45" s="1"/>
      <c r="J45" s="20"/>
      <c r="K45" s="20"/>
      <c r="L45" s="20"/>
      <c r="M45" s="2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15">
      <c r="A46" s="1"/>
      <c r="B46" s="1"/>
      <c r="C46" s="1"/>
      <c r="D46" s="1"/>
      <c r="E46" s="1"/>
      <c r="F46" s="2"/>
      <c r="G46" s="22"/>
      <c r="H46" s="27"/>
      <c r="I46" s="1"/>
      <c r="J46" s="88"/>
      <c r="K46" s="88"/>
      <c r="L46" s="88"/>
      <c r="M46" s="8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15">
      <c r="A47" s="1"/>
      <c r="B47" s="1"/>
      <c r="C47" s="1"/>
      <c r="D47" s="1"/>
      <c r="E47" s="1"/>
      <c r="F47" s="2">
        <v>14</v>
      </c>
      <c r="G47" s="22">
        <v>72000</v>
      </c>
      <c r="H47" s="23" t="s">
        <v>44</v>
      </c>
      <c r="I47" s="1"/>
      <c r="J47" s="88"/>
      <c r="K47" s="88"/>
      <c r="L47" s="88"/>
      <c r="M47" s="8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15">
      <c r="A48" s="1"/>
      <c r="B48" s="1"/>
      <c r="C48" s="1"/>
      <c r="D48" s="1"/>
      <c r="E48" s="1"/>
      <c r="F48" s="2">
        <v>14</v>
      </c>
      <c r="G48" s="16">
        <v>72100</v>
      </c>
      <c r="H48" s="23" t="s">
        <v>45</v>
      </c>
      <c r="I48" s="1"/>
      <c r="J48" s="88"/>
      <c r="K48" s="88"/>
      <c r="L48" s="88"/>
      <c r="M48" s="8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15">
      <c r="A49" s="1"/>
      <c r="B49" s="1"/>
      <c r="C49" s="1"/>
      <c r="D49" s="1"/>
      <c r="E49" s="1"/>
      <c r="F49" s="2">
        <v>14</v>
      </c>
      <c r="G49" s="16">
        <v>72200</v>
      </c>
      <c r="H49" s="41" t="s">
        <v>46</v>
      </c>
      <c r="I49" s="1"/>
      <c r="J49" s="88"/>
      <c r="K49" s="88"/>
      <c r="L49" s="88"/>
      <c r="M49" s="8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15">
      <c r="A50" s="1"/>
      <c r="B50" s="1"/>
      <c r="C50" s="1"/>
      <c r="D50" s="1"/>
      <c r="E50" s="1"/>
      <c r="F50" s="2">
        <v>14</v>
      </c>
      <c r="G50" s="16">
        <v>72300</v>
      </c>
      <c r="H50" s="23" t="s">
        <v>47</v>
      </c>
      <c r="I50" s="1"/>
      <c r="J50" s="88"/>
      <c r="K50" s="88"/>
      <c r="L50" s="88"/>
      <c r="M50" s="8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15">
      <c r="A51" s="1"/>
      <c r="B51" s="1"/>
      <c r="C51" s="1"/>
      <c r="D51" s="1"/>
      <c r="E51" s="1"/>
      <c r="F51" s="2">
        <v>14</v>
      </c>
      <c r="G51" s="16">
        <v>72400</v>
      </c>
      <c r="H51" s="23" t="s">
        <v>48</v>
      </c>
      <c r="I51" s="1"/>
      <c r="J51" s="88"/>
      <c r="K51" s="88"/>
      <c r="L51" s="88"/>
      <c r="M51" s="8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15">
      <c r="A52" s="1"/>
      <c r="B52" s="1"/>
      <c r="C52" s="1"/>
      <c r="D52" s="1"/>
      <c r="E52" s="1"/>
      <c r="F52" s="2">
        <v>14</v>
      </c>
      <c r="G52" s="16">
        <v>72500</v>
      </c>
      <c r="H52" s="23" t="s">
        <v>49</v>
      </c>
      <c r="I52" s="1"/>
      <c r="J52" s="88"/>
      <c r="K52" s="88"/>
      <c r="L52" s="88"/>
      <c r="M52" s="8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15">
      <c r="A53" s="1"/>
      <c r="B53" s="1"/>
      <c r="C53" s="1"/>
      <c r="D53" s="1"/>
      <c r="E53" s="1"/>
      <c r="F53" s="2"/>
      <c r="G53" s="16"/>
      <c r="H53" s="23"/>
      <c r="I53" s="1"/>
      <c r="J53" s="88"/>
      <c r="K53" s="88"/>
      <c r="L53" s="88"/>
      <c r="M53" s="8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15">
      <c r="A54" s="1"/>
      <c r="B54" s="1"/>
      <c r="C54" s="1"/>
      <c r="D54" s="1"/>
      <c r="E54" s="1"/>
      <c r="F54" s="2">
        <v>14</v>
      </c>
      <c r="G54" s="16">
        <v>73000</v>
      </c>
      <c r="H54" s="23" t="s">
        <v>50</v>
      </c>
      <c r="I54" s="1"/>
      <c r="J54" s="88"/>
      <c r="K54" s="88"/>
      <c r="L54" s="88"/>
      <c r="M54" s="8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15">
      <c r="A55" s="1"/>
      <c r="B55" s="1"/>
      <c r="C55" s="1"/>
      <c r="D55" s="1"/>
      <c r="E55" s="1"/>
      <c r="F55" s="2">
        <v>14</v>
      </c>
      <c r="G55" s="16">
        <v>73100</v>
      </c>
      <c r="H55" s="23" t="s">
        <v>51</v>
      </c>
      <c r="I55" s="1"/>
      <c r="J55" s="88"/>
      <c r="K55" s="88"/>
      <c r="L55" s="88"/>
      <c r="M55" s="8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15">
      <c r="A56" s="1"/>
      <c r="B56" s="1"/>
      <c r="C56" s="1"/>
      <c r="D56" s="1"/>
      <c r="E56" s="1"/>
      <c r="F56" s="2">
        <v>14</v>
      </c>
      <c r="G56" s="16">
        <v>73200</v>
      </c>
      <c r="H56" s="41" t="s">
        <v>52</v>
      </c>
      <c r="I56" s="1"/>
      <c r="J56" s="88"/>
      <c r="K56" s="88"/>
      <c r="L56" s="88"/>
      <c r="M56" s="8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15">
      <c r="A57" s="1"/>
      <c r="B57" s="1"/>
      <c r="C57" s="1"/>
      <c r="D57" s="1"/>
      <c r="E57" s="1"/>
      <c r="F57" s="2">
        <v>14</v>
      </c>
      <c r="G57" s="16">
        <v>73300</v>
      </c>
      <c r="H57" s="23" t="s">
        <v>53</v>
      </c>
      <c r="I57" s="1"/>
      <c r="J57" s="88"/>
      <c r="K57" s="88"/>
      <c r="L57" s="88"/>
      <c r="M57" s="8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15">
      <c r="A58" s="1"/>
      <c r="B58" s="1"/>
      <c r="C58" s="1"/>
      <c r="D58" s="1"/>
      <c r="E58" s="1"/>
      <c r="F58" s="2">
        <v>14</v>
      </c>
      <c r="G58" s="16">
        <v>73400</v>
      </c>
      <c r="H58" s="23" t="s">
        <v>54</v>
      </c>
      <c r="I58" s="1"/>
      <c r="J58" s="88"/>
      <c r="K58" s="88"/>
      <c r="L58" s="88"/>
      <c r="M58" s="8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15">
      <c r="A59" s="1"/>
      <c r="B59" s="1"/>
      <c r="C59" s="1"/>
      <c r="D59" s="1"/>
      <c r="E59" s="1"/>
      <c r="F59" s="2">
        <v>14</v>
      </c>
      <c r="G59" s="16">
        <v>73500</v>
      </c>
      <c r="H59" s="23" t="s">
        <v>55</v>
      </c>
      <c r="I59" s="1"/>
      <c r="J59" s="88"/>
      <c r="K59" s="88"/>
      <c r="L59" s="88"/>
      <c r="M59" s="8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15">
      <c r="A60" s="1"/>
      <c r="B60" s="1"/>
      <c r="C60" s="1"/>
      <c r="D60" s="1"/>
      <c r="E60" s="1"/>
      <c r="F60" s="2"/>
      <c r="G60" s="16"/>
      <c r="H60" s="25" t="s">
        <v>56</v>
      </c>
      <c r="I60" s="1"/>
      <c r="J60" s="86">
        <f>SUM(J40:J59)</f>
        <v>0</v>
      </c>
      <c r="K60" s="86">
        <f>SUM(K40:K59)</f>
        <v>0</v>
      </c>
      <c r="L60" s="86">
        <f>SUM(L40:L59)</f>
        <v>0</v>
      </c>
      <c r="M60" s="86">
        <f>SUM(M40:M59)</f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15">
      <c r="A61" s="1">
        <v>14</v>
      </c>
      <c r="B61" s="21" t="e">
        <f>SUM(#REF!)</f>
        <v>#REF!</v>
      </c>
      <c r="C61" s="21" t="e">
        <f>SUM(#REF!)</f>
        <v>#REF!</v>
      </c>
      <c r="D61" s="21" t="e">
        <f>SUM(#REF!)</f>
        <v>#REF!</v>
      </c>
      <c r="E61" s="21" t="e">
        <f>SUM(#REF!)</f>
        <v>#REF!</v>
      </c>
      <c r="F61" s="43"/>
      <c r="G61" s="17">
        <v>50000</v>
      </c>
      <c r="H61" s="18" t="s">
        <v>57</v>
      </c>
      <c r="I61" s="44"/>
      <c r="J61" s="20"/>
      <c r="K61" s="20"/>
      <c r="L61" s="20"/>
      <c r="M61" s="2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15">
      <c r="A62" s="1">
        <v>15</v>
      </c>
      <c r="B62" s="21">
        <f>J62:J66</f>
        <v>0</v>
      </c>
      <c r="C62" s="21" t="e">
        <f>#REF!</f>
        <v>#REF!</v>
      </c>
      <c r="D62" s="21">
        <f>K62:K66</f>
        <v>0</v>
      </c>
      <c r="E62" s="21">
        <f>L62:L66</f>
        <v>0</v>
      </c>
      <c r="F62" s="29">
        <v>15</v>
      </c>
      <c r="G62" s="22">
        <v>50100</v>
      </c>
      <c r="H62" s="23" t="s">
        <v>58</v>
      </c>
      <c r="I62" s="32"/>
      <c r="J62" s="20"/>
      <c r="K62" s="20"/>
      <c r="L62" s="20"/>
      <c r="M62" s="2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15">
      <c r="A63" s="1">
        <v>16</v>
      </c>
      <c r="B63" s="21">
        <f>J68</f>
        <v>0</v>
      </c>
      <c r="C63" s="21" t="e">
        <f>#REF!</f>
        <v>#REF!</v>
      </c>
      <c r="D63" s="21">
        <f>K68</f>
        <v>0</v>
      </c>
      <c r="E63" s="21">
        <f>L68</f>
        <v>0</v>
      </c>
      <c r="F63" s="29">
        <v>15</v>
      </c>
      <c r="G63" s="22">
        <v>50200</v>
      </c>
      <c r="H63" s="23" t="s">
        <v>59</v>
      </c>
      <c r="I63" s="32"/>
      <c r="J63" s="20"/>
      <c r="K63" s="20"/>
      <c r="L63" s="20"/>
      <c r="M63" s="2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15">
      <c r="A64" s="1">
        <v>17</v>
      </c>
      <c r="B64" s="21">
        <f>J71+J72</f>
        <v>0</v>
      </c>
      <c r="C64" s="21" t="e">
        <f>#REF!+#REF!</f>
        <v>#REF!</v>
      </c>
      <c r="D64" s="21">
        <f>K71+K72</f>
        <v>25000</v>
      </c>
      <c r="E64" s="21">
        <f>L71+L72</f>
        <v>110000</v>
      </c>
      <c r="F64" s="29">
        <v>15</v>
      </c>
      <c r="G64" s="22">
        <v>50300</v>
      </c>
      <c r="H64" s="23" t="s">
        <v>60</v>
      </c>
      <c r="I64" s="32"/>
      <c r="J64" s="20"/>
      <c r="K64" s="20"/>
      <c r="L64" s="20"/>
      <c r="M64" s="2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15">
      <c r="A65" s="1">
        <v>18</v>
      </c>
      <c r="B65" s="21">
        <f>J74+J75</f>
        <v>0</v>
      </c>
      <c r="C65" s="21" t="e">
        <f>#REF!+#REF!</f>
        <v>#REF!</v>
      </c>
      <c r="D65" s="21">
        <f>K74+K75</f>
        <v>0</v>
      </c>
      <c r="E65" s="21">
        <f>L74+L75</f>
        <v>288000</v>
      </c>
      <c r="F65" s="29">
        <v>15</v>
      </c>
      <c r="G65" s="22">
        <v>50400</v>
      </c>
      <c r="H65" s="23" t="s">
        <v>61</v>
      </c>
      <c r="I65" s="32"/>
      <c r="J65" s="20"/>
      <c r="K65" s="20"/>
      <c r="L65" s="20"/>
      <c r="M65" s="2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15">
      <c r="A66" s="1">
        <v>20</v>
      </c>
      <c r="B66" s="21">
        <f>J78+J79+J80+J81+J82+J83</f>
        <v>0</v>
      </c>
      <c r="C66" s="21" t="e">
        <f>#REF!+#REF!+#REF!+#REF!+#REF!+#REF!</f>
        <v>#REF!</v>
      </c>
      <c r="D66" s="21">
        <f>K78+K79+K80+K81+K82+K83</f>
        <v>0</v>
      </c>
      <c r="E66" s="21">
        <f>L78+L79+L80+L81+L82+L83</f>
        <v>0</v>
      </c>
      <c r="F66" s="29">
        <v>15</v>
      </c>
      <c r="G66" s="22">
        <v>50500</v>
      </c>
      <c r="H66" s="45" t="s">
        <v>62</v>
      </c>
      <c r="I66" s="32"/>
      <c r="J66" s="20"/>
      <c r="K66" s="20"/>
      <c r="L66" s="20"/>
      <c r="M66" s="2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15">
      <c r="A67" s="1"/>
      <c r="B67" s="21"/>
      <c r="C67" s="21"/>
      <c r="D67" s="21"/>
      <c r="E67" s="21"/>
      <c r="F67" s="29"/>
      <c r="G67" s="22"/>
      <c r="H67" s="46" t="s">
        <v>63</v>
      </c>
      <c r="I67" s="32"/>
      <c r="J67" s="85">
        <f>SUM(J62:J66)</f>
        <v>0</v>
      </c>
      <c r="K67" s="85">
        <f>SUM(K62:K66)</f>
        <v>0</v>
      </c>
      <c r="L67" s="85">
        <f>SUM(L62:L66)</f>
        <v>0</v>
      </c>
      <c r="M67" s="85">
        <f>SUM(M62:M66)</f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15">
      <c r="A68" s="1"/>
      <c r="B68" s="21"/>
      <c r="C68" s="21"/>
      <c r="D68" s="21"/>
      <c r="E68" s="21"/>
      <c r="F68" s="29">
        <v>16</v>
      </c>
      <c r="G68" s="22">
        <v>50600</v>
      </c>
      <c r="H68" s="23" t="s">
        <v>64</v>
      </c>
      <c r="I68" s="32"/>
      <c r="J68" s="20"/>
      <c r="K68" s="20"/>
      <c r="L68" s="20"/>
      <c r="M68" s="2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15">
      <c r="A69" s="1">
        <v>22</v>
      </c>
      <c r="B69" s="21">
        <f>J86+J87+J88+J89+J90</f>
        <v>0</v>
      </c>
      <c r="C69" s="21" t="e">
        <f>#REF!+#REF!+#REF!+#REF!+#REF!</f>
        <v>#REF!</v>
      </c>
      <c r="D69" s="21">
        <f>K86+K87+K88+K89+K90</f>
        <v>0</v>
      </c>
      <c r="E69" s="21">
        <f>L86+L87+L88+L89+L90</f>
        <v>0</v>
      </c>
      <c r="F69" s="29"/>
      <c r="G69" s="22"/>
      <c r="H69" s="46" t="s">
        <v>65</v>
      </c>
      <c r="I69" s="32"/>
      <c r="J69" s="85">
        <f>J68</f>
        <v>0</v>
      </c>
      <c r="K69" s="85">
        <f>K68</f>
        <v>0</v>
      </c>
      <c r="L69" s="85">
        <f>L68</f>
        <v>0</v>
      </c>
      <c r="M69" s="85">
        <f>M68</f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15">
      <c r="A70" s="1">
        <v>23</v>
      </c>
      <c r="B70" s="21">
        <f>J135+J136+J121+J92+J93+J95+J96+J97+J98+J99+J100+J101+J102+J103+J105+J106+J108+J107+J110+J111+J112+J114+J115+J116+J117+J118+J119+J120+J122+J123+J125+J126+J127+J128+J129+J130+J131+J132+J133+J134</f>
        <v>0</v>
      </c>
      <c r="C70" s="21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1">
        <f>K135+K136+K121+K92+K93+K95+K96+K97+K98+K99+K100+K101+K102+K103+K105+K106+K108+K107+K110+K111+K112+K114+K115+K116+K117+K118+K119+K120+K122+K123+K125+K126+K127+K128+K129+K130+K131+K132+K133+K134</f>
        <v>0</v>
      </c>
      <c r="E70" s="21">
        <f>L135+L136+L121+L92+L93+L95+L96+L97+L98+L99+L100+L101+L102+L103+L105+L106+L108+L107+L110+L111+L112+L114+L115+L116+L117+L118+L119+L120+L122+L123+L125+L126+L127+L128+L129+L130+L131+L132+L133+L134</f>
        <v>0</v>
      </c>
      <c r="F70" s="2"/>
      <c r="G70" s="17">
        <v>51000</v>
      </c>
      <c r="H70" s="18" t="s">
        <v>66</v>
      </c>
      <c r="I70" s="1"/>
      <c r="J70" s="20"/>
      <c r="K70" s="20"/>
      <c r="L70" s="20"/>
      <c r="M70" s="2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15">
      <c r="A71" s="1"/>
      <c r="B71" s="1"/>
      <c r="C71" s="1"/>
      <c r="D71" s="1"/>
      <c r="E71" s="1"/>
      <c r="F71" s="2">
        <v>17</v>
      </c>
      <c r="G71" s="22">
        <v>51100</v>
      </c>
      <c r="H71" s="23" t="s">
        <v>67</v>
      </c>
      <c r="I71" s="1"/>
      <c r="J71" s="20">
        <f>'Salary Breakdown'!C12</f>
        <v>0</v>
      </c>
      <c r="K71" s="20">
        <f>'Salary Breakdown'!D12</f>
        <v>25000</v>
      </c>
      <c r="L71" s="20">
        <f>'Salary Breakdown'!E12</f>
        <v>110000</v>
      </c>
      <c r="M71" s="20">
        <f>'Salary Breakdown'!F12</f>
        <v>260000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15">
      <c r="A72" s="1"/>
      <c r="B72" s="1"/>
      <c r="C72" s="1"/>
      <c r="D72" s="1"/>
      <c r="E72" s="1"/>
      <c r="F72" s="2">
        <v>17</v>
      </c>
      <c r="G72" s="22">
        <v>51400</v>
      </c>
      <c r="H72" s="23" t="s">
        <v>68</v>
      </c>
      <c r="I72" s="1"/>
      <c r="J72" s="20"/>
      <c r="K72" s="20"/>
      <c r="L72" s="20"/>
      <c r="M72" s="2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15">
      <c r="A73" s="1"/>
      <c r="B73" s="1"/>
      <c r="C73" s="1"/>
      <c r="D73" s="1"/>
      <c r="E73" s="1"/>
      <c r="F73" s="2"/>
      <c r="G73" s="22"/>
      <c r="H73" s="25" t="s">
        <v>69</v>
      </c>
      <c r="I73" s="1"/>
      <c r="J73" s="85">
        <f>SUM(J71:J72)</f>
        <v>0</v>
      </c>
      <c r="K73" s="85">
        <f>SUM(K71:K72)</f>
        <v>25000</v>
      </c>
      <c r="L73" s="85">
        <f>SUM(L71:L72)</f>
        <v>110000</v>
      </c>
      <c r="M73" s="85">
        <f>SUM(M71:M72)</f>
        <v>260000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2">
        <v>18</v>
      </c>
      <c r="G74" s="22">
        <v>51200</v>
      </c>
      <c r="H74" s="23" t="s">
        <v>70</v>
      </c>
      <c r="I74" s="1"/>
      <c r="J74" s="20">
        <f>'Salary Breakdown'!C20</f>
        <v>0</v>
      </c>
      <c r="K74" s="20">
        <f>'Salary Breakdown'!D20</f>
        <v>0</v>
      </c>
      <c r="L74" s="20">
        <f>'Salary Breakdown'!E20</f>
        <v>288000</v>
      </c>
      <c r="M74" s="20">
        <f>'Salary Breakdown'!F20</f>
        <v>288000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15">
      <c r="A75" s="1"/>
      <c r="B75" s="1"/>
      <c r="C75" s="1"/>
      <c r="D75" s="1"/>
      <c r="E75" s="1"/>
      <c r="F75" s="2">
        <v>18</v>
      </c>
      <c r="G75" s="22">
        <v>51450</v>
      </c>
      <c r="H75" s="23" t="s">
        <v>71</v>
      </c>
      <c r="I75" s="1"/>
      <c r="J75" s="20"/>
      <c r="K75" s="20"/>
      <c r="L75" s="20"/>
      <c r="M75" s="2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15">
      <c r="A76" s="1"/>
      <c r="B76" s="1"/>
      <c r="C76" s="1"/>
      <c r="D76" s="1"/>
      <c r="E76" s="1"/>
      <c r="F76" s="2"/>
      <c r="G76" s="1"/>
      <c r="H76" s="25" t="s">
        <v>72</v>
      </c>
      <c r="I76" s="1"/>
      <c r="J76" s="85">
        <f>SUM(J74:J75)</f>
        <v>0</v>
      </c>
      <c r="K76" s="85">
        <f>SUM(K74:K75)</f>
        <v>0</v>
      </c>
      <c r="L76" s="85">
        <f>SUM(L74:L75)</f>
        <v>288000</v>
      </c>
      <c r="M76" s="85">
        <f>SUM(M74:M75)</f>
        <v>288000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15">
      <c r="A77" s="1"/>
      <c r="B77" s="1"/>
      <c r="C77" s="1"/>
      <c r="D77" s="1"/>
      <c r="E77" s="1"/>
      <c r="F77" s="2"/>
      <c r="G77" s="17">
        <v>54000</v>
      </c>
      <c r="H77" s="18" t="s">
        <v>73</v>
      </c>
      <c r="I77" s="1"/>
      <c r="J77" s="20"/>
      <c r="K77" s="20"/>
      <c r="L77" s="20"/>
      <c r="M77" s="2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15">
      <c r="A78" s="1"/>
      <c r="B78" s="1"/>
      <c r="C78" s="1"/>
      <c r="D78" s="1"/>
      <c r="E78" s="1"/>
      <c r="F78" s="2">
        <v>20</v>
      </c>
      <c r="G78" s="22">
        <v>54100</v>
      </c>
      <c r="H78" s="23" t="s">
        <v>74</v>
      </c>
      <c r="I78" s="1"/>
      <c r="J78" s="20"/>
      <c r="K78" s="20"/>
      <c r="L78" s="20"/>
      <c r="M78" s="2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15">
      <c r="A79" s="1"/>
      <c r="B79" s="1"/>
      <c r="C79" s="1"/>
      <c r="D79" s="1"/>
      <c r="E79" s="1"/>
      <c r="F79" s="2">
        <v>20</v>
      </c>
      <c r="G79" s="22">
        <v>54200</v>
      </c>
      <c r="H79" s="23" t="s">
        <v>75</v>
      </c>
      <c r="I79" s="1"/>
      <c r="J79" s="20"/>
      <c r="K79" s="20"/>
      <c r="L79" s="20"/>
      <c r="M79" s="2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15">
      <c r="A80" s="1"/>
      <c r="B80" s="1"/>
      <c r="C80" s="1"/>
      <c r="D80" s="1"/>
      <c r="E80" s="1"/>
      <c r="F80" s="2">
        <v>20</v>
      </c>
      <c r="G80" s="22">
        <v>54300</v>
      </c>
      <c r="H80" s="23" t="s">
        <v>76</v>
      </c>
      <c r="I80" s="1"/>
      <c r="J80" s="20"/>
      <c r="K80" s="20"/>
      <c r="L80" s="20"/>
      <c r="M80" s="2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15">
      <c r="A81" s="1"/>
      <c r="B81" s="1"/>
      <c r="C81" s="1"/>
      <c r="D81" s="1"/>
      <c r="E81" s="1"/>
      <c r="F81" s="2">
        <v>20</v>
      </c>
      <c r="G81" s="22">
        <v>54400</v>
      </c>
      <c r="H81" s="23" t="s">
        <v>77</v>
      </c>
      <c r="I81" s="1"/>
      <c r="J81" s="20"/>
      <c r="K81" s="20"/>
      <c r="L81" s="20"/>
      <c r="M81" s="2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15">
      <c r="A82" s="1"/>
      <c r="B82" s="1"/>
      <c r="C82" s="1"/>
      <c r="D82" s="1"/>
      <c r="E82" s="1"/>
      <c r="F82" s="2">
        <v>20</v>
      </c>
      <c r="G82" s="22">
        <v>54500</v>
      </c>
      <c r="H82" s="23" t="s">
        <v>78</v>
      </c>
      <c r="I82" s="1"/>
      <c r="J82" s="20"/>
      <c r="K82" s="20"/>
      <c r="L82" s="20"/>
      <c r="M82" s="2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15">
      <c r="A83" s="1"/>
      <c r="B83" s="1"/>
      <c r="C83" s="1"/>
      <c r="D83" s="1"/>
      <c r="E83" s="1"/>
      <c r="F83" s="2">
        <v>20</v>
      </c>
      <c r="G83" s="22">
        <v>54600</v>
      </c>
      <c r="H83" s="23" t="s">
        <v>79</v>
      </c>
      <c r="I83" s="1"/>
      <c r="J83" s="20"/>
      <c r="K83" s="20"/>
      <c r="L83" s="20"/>
      <c r="M83" s="2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15">
      <c r="A84" s="1"/>
      <c r="B84" s="1"/>
      <c r="C84" s="1"/>
      <c r="D84" s="1"/>
      <c r="E84" s="1"/>
      <c r="F84" s="2"/>
      <c r="G84" s="22"/>
      <c r="H84" s="25" t="s">
        <v>80</v>
      </c>
      <c r="I84" s="1"/>
      <c r="J84" s="85">
        <f>SUM(J78:J83)</f>
        <v>0</v>
      </c>
      <c r="K84" s="85">
        <f>SUM(K78:K83)</f>
        <v>0</v>
      </c>
      <c r="L84" s="85">
        <f>SUM(L78:L83)</f>
        <v>0</v>
      </c>
      <c r="M84" s="85">
        <f>SUM(M78:M83)</f>
        <v>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15">
      <c r="A85" s="1"/>
      <c r="B85" s="1"/>
      <c r="C85" s="1"/>
      <c r="D85" s="1"/>
      <c r="E85" s="1"/>
      <c r="F85" s="2"/>
      <c r="G85" s="17">
        <v>52000</v>
      </c>
      <c r="H85" s="18" t="s">
        <v>81</v>
      </c>
      <c r="I85" s="1"/>
      <c r="J85" s="20"/>
      <c r="K85" s="20"/>
      <c r="L85" s="20"/>
      <c r="M85" s="2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15">
      <c r="A86" s="1"/>
      <c r="B86" s="1"/>
      <c r="C86" s="1"/>
      <c r="D86" s="1"/>
      <c r="E86" s="1"/>
      <c r="F86" s="2">
        <v>22</v>
      </c>
      <c r="G86" s="22">
        <v>52200</v>
      </c>
      <c r="H86" s="23" t="s">
        <v>82</v>
      </c>
      <c r="I86" s="1"/>
      <c r="J86" s="20"/>
      <c r="K86" s="20"/>
      <c r="L86" s="20"/>
      <c r="M86" s="2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15">
      <c r="A87" s="1"/>
      <c r="B87" s="1"/>
      <c r="C87" s="1"/>
      <c r="D87" s="1"/>
      <c r="E87" s="1"/>
      <c r="F87" s="2">
        <v>22</v>
      </c>
      <c r="G87" s="22">
        <v>52400</v>
      </c>
      <c r="H87" s="23" t="s">
        <v>213</v>
      </c>
      <c r="I87" s="1"/>
      <c r="J87" s="20"/>
      <c r="K87" s="20"/>
      <c r="L87" s="20"/>
      <c r="M87" s="2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15">
      <c r="A88" s="1"/>
      <c r="B88" s="1"/>
      <c r="C88" s="1"/>
      <c r="D88" s="1"/>
      <c r="E88" s="1"/>
      <c r="F88" s="2">
        <v>22</v>
      </c>
      <c r="G88" s="22">
        <v>52500</v>
      </c>
      <c r="H88" s="23" t="s">
        <v>84</v>
      </c>
      <c r="I88" s="1"/>
      <c r="J88" s="20"/>
      <c r="K88" s="20"/>
      <c r="L88" s="20"/>
      <c r="M88" s="2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15">
      <c r="A89" s="1"/>
      <c r="B89" s="1"/>
      <c r="C89" s="1"/>
      <c r="D89" s="1"/>
      <c r="E89" s="1"/>
      <c r="F89" s="2">
        <v>22</v>
      </c>
      <c r="G89" s="22">
        <v>52600</v>
      </c>
      <c r="H89" s="23" t="s">
        <v>85</v>
      </c>
      <c r="I89" s="1"/>
      <c r="J89" s="20"/>
      <c r="K89" s="20"/>
      <c r="L89" s="20"/>
      <c r="M89" s="2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15">
      <c r="A90" s="1"/>
      <c r="B90" s="1"/>
      <c r="C90" s="1"/>
      <c r="D90" s="1"/>
      <c r="E90" s="1"/>
      <c r="F90" s="2">
        <v>22</v>
      </c>
      <c r="G90" s="22">
        <v>52800</v>
      </c>
      <c r="H90" s="23" t="s">
        <v>86</v>
      </c>
      <c r="I90" s="1"/>
      <c r="J90" s="20"/>
      <c r="K90" s="20"/>
      <c r="L90" s="20"/>
      <c r="M90" s="2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15">
      <c r="A91" s="1"/>
      <c r="B91" s="1"/>
      <c r="C91" s="1"/>
      <c r="D91" s="1"/>
      <c r="E91" s="1"/>
      <c r="F91" s="2"/>
      <c r="G91" s="22"/>
      <c r="H91" s="25" t="s">
        <v>87</v>
      </c>
      <c r="I91" s="1"/>
      <c r="J91" s="85">
        <f>SUM(J86:J90)</f>
        <v>0</v>
      </c>
      <c r="K91" s="85">
        <f>SUM(K86:K90)</f>
        <v>0</v>
      </c>
      <c r="L91" s="85">
        <f>SUM(L86:L90)</f>
        <v>0</v>
      </c>
      <c r="M91" s="85">
        <f>SUM(M86:M90)</f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15">
      <c r="A92" s="1"/>
      <c r="B92" s="1"/>
      <c r="C92" s="1"/>
      <c r="D92" s="1"/>
      <c r="E92" s="1"/>
      <c r="F92" s="2">
        <v>23</v>
      </c>
      <c r="G92" s="22">
        <v>52300</v>
      </c>
      <c r="H92" s="23" t="s">
        <v>88</v>
      </c>
      <c r="I92" s="1"/>
      <c r="J92" s="20"/>
      <c r="K92" s="20"/>
      <c r="L92" s="20"/>
      <c r="M92" s="2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15">
      <c r="A93" s="1"/>
      <c r="B93" s="1"/>
      <c r="C93" s="1"/>
      <c r="D93" s="1"/>
      <c r="E93" s="1"/>
      <c r="F93" s="2">
        <v>23</v>
      </c>
      <c r="G93" s="22">
        <v>52700</v>
      </c>
      <c r="H93" s="23" t="s">
        <v>89</v>
      </c>
      <c r="I93" s="1"/>
      <c r="J93" s="20"/>
      <c r="K93" s="20"/>
      <c r="L93" s="20"/>
      <c r="M93" s="2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15">
      <c r="A94" s="1"/>
      <c r="B94" s="1"/>
      <c r="C94" s="1"/>
      <c r="D94" s="1"/>
      <c r="E94" s="1"/>
      <c r="F94" s="2"/>
      <c r="G94" s="17">
        <v>53000</v>
      </c>
      <c r="H94" s="18" t="s">
        <v>90</v>
      </c>
      <c r="I94" s="1"/>
      <c r="J94" s="20"/>
      <c r="K94" s="20"/>
      <c r="L94" s="20"/>
      <c r="M94" s="2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15">
      <c r="A95" s="1"/>
      <c r="B95" s="1"/>
      <c r="C95" s="1"/>
      <c r="D95" s="1"/>
      <c r="E95" s="1"/>
      <c r="F95" s="2">
        <v>23</v>
      </c>
      <c r="G95" s="22">
        <v>53100</v>
      </c>
      <c r="H95" s="23" t="s">
        <v>91</v>
      </c>
      <c r="I95" s="1"/>
      <c r="J95" s="20"/>
      <c r="K95" s="20"/>
      <c r="L95" s="20"/>
      <c r="M95" s="2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15">
      <c r="A96" s="1"/>
      <c r="B96" s="1"/>
      <c r="C96" s="1"/>
      <c r="D96" s="1"/>
      <c r="E96" s="1"/>
      <c r="F96" s="2">
        <v>23</v>
      </c>
      <c r="G96" s="22">
        <v>53200</v>
      </c>
      <c r="H96" s="23" t="s">
        <v>92</v>
      </c>
      <c r="I96" s="1"/>
      <c r="J96" s="20"/>
      <c r="K96" s="20"/>
      <c r="L96" s="20"/>
      <c r="M96" s="2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15">
      <c r="A97" s="1"/>
      <c r="B97" s="1"/>
      <c r="C97" s="1"/>
      <c r="D97" s="1"/>
      <c r="E97" s="1"/>
      <c r="F97" s="2">
        <v>23</v>
      </c>
      <c r="G97" s="22">
        <v>53300</v>
      </c>
      <c r="H97" s="23" t="s">
        <v>93</v>
      </c>
      <c r="I97" s="1"/>
      <c r="J97" s="20"/>
      <c r="K97" s="20"/>
      <c r="L97" s="20"/>
      <c r="M97" s="2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15">
      <c r="A98" s="1"/>
      <c r="B98" s="1"/>
      <c r="C98" s="1"/>
      <c r="D98" s="1"/>
      <c r="E98" s="1"/>
      <c r="F98" s="2">
        <v>23</v>
      </c>
      <c r="G98" s="22">
        <v>53400</v>
      </c>
      <c r="H98" s="23" t="s">
        <v>94</v>
      </c>
      <c r="I98" s="1"/>
      <c r="J98" s="20"/>
      <c r="K98" s="20"/>
      <c r="L98" s="20"/>
      <c r="M98" s="2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15">
      <c r="A99" s="1"/>
      <c r="B99" s="1"/>
      <c r="C99" s="1"/>
      <c r="D99" s="1"/>
      <c r="E99" s="1"/>
      <c r="F99" s="2">
        <v>23</v>
      </c>
      <c r="G99" s="22">
        <v>53500</v>
      </c>
      <c r="H99" s="23" t="s">
        <v>95</v>
      </c>
      <c r="I99" s="1"/>
      <c r="J99" s="20"/>
      <c r="K99" s="20"/>
      <c r="L99" s="20"/>
      <c r="M99" s="2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15">
      <c r="A100" s="1"/>
      <c r="B100" s="1"/>
      <c r="C100" s="1"/>
      <c r="D100" s="1"/>
      <c r="E100" s="1"/>
      <c r="F100" s="2">
        <v>23</v>
      </c>
      <c r="G100" s="22">
        <v>53600</v>
      </c>
      <c r="H100" s="23" t="s">
        <v>96</v>
      </c>
      <c r="I100" s="1"/>
      <c r="J100" s="20"/>
      <c r="K100" s="20"/>
      <c r="L100" s="20"/>
      <c r="M100" s="2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15">
      <c r="A101" s="1"/>
      <c r="B101" s="1"/>
      <c r="C101" s="1"/>
      <c r="D101" s="1"/>
      <c r="E101" s="1"/>
      <c r="F101" s="2">
        <v>23</v>
      </c>
      <c r="G101" s="22">
        <v>53700</v>
      </c>
      <c r="H101" s="23" t="s">
        <v>97</v>
      </c>
      <c r="I101" s="1"/>
      <c r="J101" s="20"/>
      <c r="K101" s="20"/>
      <c r="L101" s="20"/>
      <c r="M101" s="2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15">
      <c r="A102" s="1"/>
      <c r="B102" s="1"/>
      <c r="C102" s="1"/>
      <c r="D102" s="1"/>
      <c r="E102" s="1"/>
      <c r="F102" s="2">
        <v>23</v>
      </c>
      <c r="G102" s="22">
        <v>53800</v>
      </c>
      <c r="H102" s="23" t="s">
        <v>214</v>
      </c>
      <c r="I102" s="1"/>
      <c r="J102" s="20"/>
      <c r="K102" s="20"/>
      <c r="L102" s="20"/>
      <c r="M102" s="2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15">
      <c r="A103" s="1"/>
      <c r="B103" s="1"/>
      <c r="C103" s="1"/>
      <c r="D103" s="1"/>
      <c r="E103" s="1"/>
      <c r="F103" s="2">
        <v>23</v>
      </c>
      <c r="G103" s="22">
        <v>53900</v>
      </c>
      <c r="H103" s="23" t="s">
        <v>99</v>
      </c>
      <c r="I103" s="1"/>
      <c r="J103" s="20"/>
      <c r="K103" s="20"/>
      <c r="L103" s="20"/>
      <c r="M103" s="2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15">
      <c r="A104" s="1"/>
      <c r="B104" s="1"/>
      <c r="C104" s="1"/>
      <c r="D104" s="1"/>
      <c r="E104" s="1"/>
      <c r="F104" s="2"/>
      <c r="G104" s="17">
        <v>55000</v>
      </c>
      <c r="H104" s="18" t="s">
        <v>100</v>
      </c>
      <c r="I104" s="1"/>
      <c r="J104" s="20"/>
      <c r="K104" s="20"/>
      <c r="L104" s="20"/>
      <c r="M104" s="2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15">
      <c r="A105" s="1"/>
      <c r="B105" s="1"/>
      <c r="C105" s="1"/>
      <c r="D105" s="1"/>
      <c r="E105" s="1"/>
      <c r="F105" s="2">
        <v>23</v>
      </c>
      <c r="G105" s="22">
        <v>55100</v>
      </c>
      <c r="H105" s="23" t="s">
        <v>101</v>
      </c>
      <c r="I105" s="1"/>
      <c r="J105" s="20"/>
      <c r="K105" s="20"/>
      <c r="L105" s="20"/>
      <c r="M105" s="2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15">
      <c r="A106" s="1"/>
      <c r="B106" s="1"/>
      <c r="C106" s="1"/>
      <c r="D106" s="1"/>
      <c r="E106" s="1"/>
      <c r="F106" s="2">
        <v>23</v>
      </c>
      <c r="G106" s="22">
        <v>55200</v>
      </c>
      <c r="H106" s="23" t="s">
        <v>102</v>
      </c>
      <c r="I106" s="1"/>
      <c r="J106" s="20"/>
      <c r="K106" s="20"/>
      <c r="L106" s="20"/>
      <c r="M106" s="2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15">
      <c r="A107" s="1"/>
      <c r="B107" s="1"/>
      <c r="C107" s="1"/>
      <c r="D107" s="1"/>
      <c r="E107" s="1"/>
      <c r="F107" s="2">
        <v>23</v>
      </c>
      <c r="G107" s="22">
        <v>55300</v>
      </c>
      <c r="H107" s="23" t="s">
        <v>103</v>
      </c>
      <c r="I107" s="1"/>
      <c r="J107" s="20"/>
      <c r="K107" s="20"/>
      <c r="L107" s="20"/>
      <c r="M107" s="2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15">
      <c r="A108" s="1"/>
      <c r="B108" s="1"/>
      <c r="C108" s="1"/>
      <c r="D108" s="1"/>
      <c r="E108" s="1"/>
      <c r="F108" s="2">
        <v>23</v>
      </c>
      <c r="G108" s="22">
        <v>55400</v>
      </c>
      <c r="H108" s="23" t="s">
        <v>104</v>
      </c>
      <c r="I108" s="1"/>
      <c r="J108" s="20"/>
      <c r="K108" s="20"/>
      <c r="L108" s="20"/>
      <c r="M108" s="2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15">
      <c r="A109" s="1"/>
      <c r="B109" s="1"/>
      <c r="C109" s="1"/>
      <c r="D109" s="1"/>
      <c r="E109" s="1"/>
      <c r="F109" s="2"/>
      <c r="G109" s="17">
        <v>56000</v>
      </c>
      <c r="H109" s="18" t="s">
        <v>105</v>
      </c>
      <c r="I109" s="1"/>
      <c r="J109" s="20"/>
      <c r="K109" s="20"/>
      <c r="L109" s="20"/>
      <c r="M109" s="2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15">
      <c r="A110" s="1"/>
      <c r="B110" s="1"/>
      <c r="C110" s="1"/>
      <c r="D110" s="1"/>
      <c r="E110" s="1"/>
      <c r="F110" s="2">
        <v>23</v>
      </c>
      <c r="G110" s="22">
        <v>56100</v>
      </c>
      <c r="H110" s="23" t="s">
        <v>106</v>
      </c>
      <c r="I110" s="1"/>
      <c r="J110" s="20"/>
      <c r="K110" s="20"/>
      <c r="L110" s="20"/>
      <c r="M110" s="2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15">
      <c r="A111" s="1"/>
      <c r="B111" s="1"/>
      <c r="C111" s="1"/>
      <c r="D111" s="1"/>
      <c r="E111" s="1"/>
      <c r="F111" s="2">
        <v>23</v>
      </c>
      <c r="G111" s="22">
        <v>56200</v>
      </c>
      <c r="H111" s="23" t="s">
        <v>107</v>
      </c>
      <c r="I111" s="1"/>
      <c r="J111" s="20"/>
      <c r="K111" s="20"/>
      <c r="L111" s="20"/>
      <c r="M111" s="2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15">
      <c r="A112" s="1"/>
      <c r="B112" s="1"/>
      <c r="C112" s="1"/>
      <c r="D112" s="1"/>
      <c r="E112" s="1"/>
      <c r="F112" s="2">
        <v>23</v>
      </c>
      <c r="G112" s="22">
        <v>56300</v>
      </c>
      <c r="H112" s="23" t="s">
        <v>108</v>
      </c>
      <c r="I112" s="1"/>
      <c r="J112" s="20"/>
      <c r="K112" s="20"/>
      <c r="L112" s="20"/>
      <c r="M112" s="2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15">
      <c r="A113" s="1"/>
      <c r="B113" s="1"/>
      <c r="C113" s="1"/>
      <c r="D113" s="1"/>
      <c r="E113" s="1"/>
      <c r="F113" s="2"/>
      <c r="G113" s="17">
        <v>57000</v>
      </c>
      <c r="H113" s="18" t="s">
        <v>109</v>
      </c>
      <c r="I113" s="1"/>
      <c r="J113" s="20"/>
      <c r="K113" s="20"/>
      <c r="L113" s="20"/>
      <c r="M113" s="2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15">
      <c r="A114" s="1"/>
      <c r="B114" s="1"/>
      <c r="C114" s="1"/>
      <c r="D114" s="1"/>
      <c r="E114" s="1"/>
      <c r="F114" s="2">
        <v>23</v>
      </c>
      <c r="G114" s="22">
        <v>57100</v>
      </c>
      <c r="H114" s="23" t="s">
        <v>110</v>
      </c>
      <c r="I114" s="1"/>
      <c r="J114" s="20"/>
      <c r="K114" s="20"/>
      <c r="L114" s="20"/>
      <c r="M114" s="2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15">
      <c r="A115" s="1"/>
      <c r="B115" s="1"/>
      <c r="C115" s="1"/>
      <c r="D115" s="1"/>
      <c r="E115" s="1"/>
      <c r="F115" s="2">
        <v>23</v>
      </c>
      <c r="G115" s="22">
        <v>57200</v>
      </c>
      <c r="H115" s="23" t="s">
        <v>111</v>
      </c>
      <c r="I115" s="1"/>
      <c r="J115" s="20"/>
      <c r="K115" s="20"/>
      <c r="L115" s="20"/>
      <c r="M115" s="2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15">
      <c r="A116" s="1"/>
      <c r="B116" s="1"/>
      <c r="C116" s="1"/>
      <c r="D116" s="1"/>
      <c r="E116" s="1"/>
      <c r="F116" s="2">
        <v>23</v>
      </c>
      <c r="G116" s="22">
        <v>57300</v>
      </c>
      <c r="H116" s="23" t="s">
        <v>112</v>
      </c>
      <c r="I116" s="1"/>
      <c r="J116" s="20"/>
      <c r="K116" s="20"/>
      <c r="L116" s="20"/>
      <c r="M116" s="2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15">
      <c r="A117" s="1"/>
      <c r="B117" s="1"/>
      <c r="C117" s="1"/>
      <c r="D117" s="1"/>
      <c r="E117" s="1"/>
      <c r="F117" s="2">
        <v>23</v>
      </c>
      <c r="G117" s="22">
        <v>57400</v>
      </c>
      <c r="H117" s="23" t="s">
        <v>113</v>
      </c>
      <c r="I117" s="1"/>
      <c r="J117" s="20"/>
      <c r="K117" s="20"/>
      <c r="L117" s="20"/>
      <c r="M117" s="2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15">
      <c r="A118" s="1"/>
      <c r="B118" s="1"/>
      <c r="C118" s="1"/>
      <c r="D118" s="1"/>
      <c r="E118" s="1"/>
      <c r="F118" s="2">
        <v>23</v>
      </c>
      <c r="G118" s="22">
        <v>57500</v>
      </c>
      <c r="H118" s="23" t="s">
        <v>114</v>
      </c>
      <c r="I118" s="1"/>
      <c r="J118" s="20"/>
      <c r="K118" s="20"/>
      <c r="L118" s="20"/>
      <c r="M118" s="2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15">
      <c r="A119" s="1"/>
      <c r="B119" s="1"/>
      <c r="C119" s="1"/>
      <c r="D119" s="1"/>
      <c r="E119" s="1"/>
      <c r="F119" s="2">
        <v>23</v>
      </c>
      <c r="G119" s="22">
        <v>57600</v>
      </c>
      <c r="H119" s="23" t="s">
        <v>115</v>
      </c>
      <c r="I119" s="1"/>
      <c r="J119" s="20"/>
      <c r="K119" s="20"/>
      <c r="L119" s="20"/>
      <c r="M119" s="2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hidden="1" customHeight="1" x14ac:dyDescent="0.15">
      <c r="A120" s="1"/>
      <c r="B120" s="1"/>
      <c r="C120" s="1"/>
      <c r="D120" s="1"/>
      <c r="E120" s="1"/>
      <c r="F120" s="2"/>
      <c r="G120" s="22">
        <v>57700</v>
      </c>
      <c r="H120" s="23" t="s">
        <v>116</v>
      </c>
      <c r="I120" s="1"/>
      <c r="J120" s="20"/>
      <c r="K120" s="20"/>
      <c r="L120" s="20"/>
      <c r="M120" s="2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15">
      <c r="A121" s="1"/>
      <c r="B121" s="1"/>
      <c r="C121" s="1"/>
      <c r="D121" s="1"/>
      <c r="E121" s="1"/>
      <c r="F121" s="2">
        <v>23</v>
      </c>
      <c r="G121" s="22">
        <v>51500</v>
      </c>
      <c r="H121" s="23" t="s">
        <v>117</v>
      </c>
      <c r="I121" s="1"/>
      <c r="J121" s="20"/>
      <c r="K121" s="20"/>
      <c r="L121" s="20"/>
      <c r="M121" s="2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15">
      <c r="A122" s="1"/>
      <c r="B122" s="1"/>
      <c r="C122" s="1"/>
      <c r="D122" s="1"/>
      <c r="E122" s="1"/>
      <c r="F122" s="2">
        <v>23</v>
      </c>
      <c r="G122" s="22">
        <v>57800</v>
      </c>
      <c r="H122" s="23" t="s">
        <v>118</v>
      </c>
      <c r="I122" s="1"/>
      <c r="J122" s="20"/>
      <c r="K122" s="20"/>
      <c r="L122" s="20"/>
      <c r="M122" s="2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15">
      <c r="A123" s="1"/>
      <c r="B123" s="1"/>
      <c r="C123" s="1"/>
      <c r="D123" s="1"/>
      <c r="E123" s="1"/>
      <c r="F123" s="2">
        <v>23</v>
      </c>
      <c r="G123" s="22">
        <v>57900</v>
      </c>
      <c r="H123" s="23" t="s">
        <v>119</v>
      </c>
      <c r="I123" s="1"/>
      <c r="J123" s="20"/>
      <c r="K123" s="20"/>
      <c r="L123" s="20"/>
      <c r="M123" s="2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15">
      <c r="A124" s="1"/>
      <c r="B124" s="1"/>
      <c r="C124" s="1"/>
      <c r="D124" s="1"/>
      <c r="E124" s="1"/>
      <c r="F124" s="2"/>
      <c r="G124" s="17">
        <v>60000</v>
      </c>
      <c r="H124" s="18" t="s">
        <v>120</v>
      </c>
      <c r="I124" s="1"/>
      <c r="J124" s="20"/>
      <c r="K124" s="20"/>
      <c r="L124" s="20"/>
      <c r="M124" s="2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2">
        <v>23</v>
      </c>
      <c r="G125" s="22">
        <v>61000</v>
      </c>
      <c r="H125" s="45" t="s">
        <v>215</v>
      </c>
      <c r="I125" s="1"/>
      <c r="J125" s="20"/>
      <c r="K125" s="20"/>
      <c r="L125" s="20"/>
      <c r="M125" s="2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2">
        <v>23</v>
      </c>
      <c r="G126" s="22">
        <v>61500</v>
      </c>
      <c r="H126" s="45" t="s">
        <v>121</v>
      </c>
      <c r="I126" s="1"/>
      <c r="J126" s="20"/>
      <c r="K126" s="20"/>
      <c r="L126" s="20"/>
      <c r="M126" s="2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2">
        <v>23</v>
      </c>
      <c r="G127" s="22">
        <v>62000</v>
      </c>
      <c r="H127" s="45" t="s">
        <v>216</v>
      </c>
      <c r="I127" s="1"/>
      <c r="J127" s="20"/>
      <c r="K127" s="20"/>
      <c r="L127" s="20"/>
      <c r="M127" s="2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2">
        <v>23</v>
      </c>
      <c r="G128" s="22">
        <v>62500</v>
      </c>
      <c r="H128" s="45" t="s">
        <v>123</v>
      </c>
      <c r="I128" s="1"/>
      <c r="J128" s="20"/>
      <c r="K128" s="20"/>
      <c r="L128" s="20"/>
      <c r="M128" s="2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2">
        <v>23</v>
      </c>
      <c r="G129" s="22">
        <v>63000</v>
      </c>
      <c r="H129" s="45" t="s">
        <v>217</v>
      </c>
      <c r="I129" s="1"/>
      <c r="J129" s="20"/>
      <c r="K129" s="20"/>
      <c r="L129" s="20"/>
      <c r="M129" s="2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2">
        <v>23</v>
      </c>
      <c r="G130" s="22">
        <v>63500</v>
      </c>
      <c r="H130" s="45" t="s">
        <v>125</v>
      </c>
      <c r="I130" s="1"/>
      <c r="J130" s="20"/>
      <c r="K130" s="20"/>
      <c r="L130" s="20"/>
      <c r="M130" s="2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2">
        <v>23</v>
      </c>
      <c r="G131" s="22">
        <v>64000</v>
      </c>
      <c r="H131" s="45" t="s">
        <v>127</v>
      </c>
      <c r="I131" s="1"/>
      <c r="J131" s="20"/>
      <c r="K131" s="20"/>
      <c r="L131" s="20"/>
      <c r="M131" s="2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2">
        <v>23</v>
      </c>
      <c r="G132" s="22">
        <v>64500</v>
      </c>
      <c r="H132" s="45" t="s">
        <v>128</v>
      </c>
      <c r="I132" s="1"/>
      <c r="J132" s="20"/>
      <c r="K132" s="20"/>
      <c r="L132" s="20"/>
      <c r="M132" s="2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2">
        <v>23</v>
      </c>
      <c r="G133" s="22">
        <v>65000</v>
      </c>
      <c r="H133" s="45" t="s">
        <v>129</v>
      </c>
      <c r="I133" s="1"/>
      <c r="J133" s="20"/>
      <c r="K133" s="20"/>
      <c r="L133" s="20"/>
      <c r="M133" s="2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2">
        <v>23</v>
      </c>
      <c r="G134" s="22">
        <v>65500</v>
      </c>
      <c r="H134" s="45" t="s">
        <v>130</v>
      </c>
      <c r="I134" s="1"/>
      <c r="J134" s="20"/>
      <c r="K134" s="20"/>
      <c r="L134" s="20"/>
      <c r="M134" s="2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15">
      <c r="A135" s="1"/>
      <c r="B135" s="1"/>
      <c r="C135" s="1"/>
      <c r="D135" s="1"/>
      <c r="E135" s="1"/>
      <c r="F135" s="2">
        <v>23</v>
      </c>
      <c r="G135" s="22">
        <v>49150</v>
      </c>
      <c r="H135" s="23" t="s">
        <v>131</v>
      </c>
      <c r="I135" s="1"/>
      <c r="J135" s="20"/>
      <c r="K135" s="20"/>
      <c r="L135" s="20"/>
      <c r="M135" s="2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15">
      <c r="A136" s="1"/>
      <c r="B136" s="1"/>
      <c r="C136" s="1"/>
      <c r="D136" s="1"/>
      <c r="E136" s="1"/>
      <c r="F136" s="2">
        <v>23</v>
      </c>
      <c r="G136" s="22">
        <v>49250</v>
      </c>
      <c r="H136" s="23" t="s">
        <v>132</v>
      </c>
      <c r="I136" s="1"/>
      <c r="J136" s="20"/>
      <c r="K136" s="20"/>
      <c r="L136" s="20"/>
      <c r="M136" s="2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15">
      <c r="A137" s="1"/>
      <c r="B137" s="1"/>
      <c r="C137" s="1"/>
      <c r="D137" s="1"/>
      <c r="E137" s="1"/>
      <c r="F137" s="2"/>
      <c r="G137" s="16"/>
      <c r="H137" s="33" t="s">
        <v>133</v>
      </c>
      <c r="I137" s="1"/>
      <c r="J137" s="86">
        <f>SUM(J92:J136)</f>
        <v>0</v>
      </c>
      <c r="K137" s="86">
        <f>SUM(K92:K136)</f>
        <v>0</v>
      </c>
      <c r="L137" s="86">
        <f>SUM(L92:L136)</f>
        <v>0</v>
      </c>
      <c r="M137" s="86">
        <f>SUM(M92:M136)</f>
        <v>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15">
      <c r="A138" s="1"/>
      <c r="B138" s="1"/>
      <c r="C138" s="1"/>
      <c r="D138" s="1"/>
      <c r="E138" s="1"/>
      <c r="F138" s="2"/>
      <c r="G138" s="34"/>
      <c r="H138" s="35" t="s">
        <v>134</v>
      </c>
      <c r="I138" s="47"/>
      <c r="J138" s="87">
        <f>J137+J91+J84+J76+J73+J69+J67+J60</f>
        <v>0</v>
      </c>
      <c r="K138" s="87">
        <f>K137+K91+K84+K76+K73+K69+K67+K60</f>
        <v>25000</v>
      </c>
      <c r="L138" s="87">
        <f>L137+L91+L84+L76+L73+L69+L67+L60</f>
        <v>398000</v>
      </c>
      <c r="M138" s="87">
        <f>M137+M91+M84+M76+M73+M69+M67+M60</f>
        <v>548000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15">
      <c r="A139" s="1"/>
      <c r="B139" s="1"/>
      <c r="C139" s="1"/>
      <c r="D139" s="1"/>
      <c r="E139" s="1"/>
      <c r="F139" s="2"/>
      <c r="G139" s="1"/>
      <c r="H139" s="1"/>
      <c r="I139" s="1"/>
      <c r="J139" s="48"/>
      <c r="K139" s="48"/>
      <c r="L139" s="48"/>
      <c r="M139" s="4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15">
      <c r="A140" s="1"/>
      <c r="B140" s="1"/>
      <c r="C140" s="1"/>
      <c r="D140" s="1"/>
      <c r="E140" s="1"/>
      <c r="F140" s="97"/>
      <c r="G140" s="98"/>
      <c r="H140" s="99" t="s">
        <v>135</v>
      </c>
      <c r="I140" s="98"/>
      <c r="J140" s="103" t="s">
        <v>136</v>
      </c>
      <c r="K140" s="104"/>
      <c r="L140" s="10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15">
      <c r="A141" s="1"/>
      <c r="B141" s="1"/>
      <c r="C141" s="1"/>
      <c r="D141" s="1"/>
      <c r="E141" s="1"/>
      <c r="F141" s="2"/>
      <c r="G141" s="19"/>
      <c r="H141" s="1"/>
      <c r="I141" s="1"/>
      <c r="J141" s="48"/>
      <c r="K141" s="48"/>
      <c r="L141" s="48"/>
      <c r="M141" s="48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15">
      <c r="A142" s="1"/>
      <c r="B142" s="1"/>
      <c r="C142" s="1"/>
      <c r="D142" s="1"/>
      <c r="E142" s="1"/>
      <c r="F142" s="2"/>
      <c r="G142" s="49"/>
      <c r="H142" s="50"/>
      <c r="I142" s="1"/>
      <c r="J142" s="2" t="s">
        <v>137</v>
      </c>
      <c r="K142" s="48"/>
      <c r="L142" s="48"/>
      <c r="M142" s="4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15">
      <c r="A143" s="1"/>
      <c r="B143" s="1"/>
      <c r="C143" s="1"/>
      <c r="D143" s="1"/>
      <c r="E143" s="1"/>
      <c r="F143" s="51"/>
      <c r="G143" s="52" t="s">
        <v>138</v>
      </c>
      <c r="H143" s="23"/>
      <c r="I143" s="53"/>
      <c r="J143" s="54">
        <v>43830</v>
      </c>
      <c r="K143" s="48"/>
      <c r="L143" s="48"/>
      <c r="M143" s="48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15">
      <c r="A144" s="1"/>
      <c r="B144" s="1"/>
      <c r="C144" s="1"/>
      <c r="D144" s="1"/>
      <c r="E144" s="1"/>
      <c r="F144" s="55"/>
      <c r="G144" s="17">
        <v>10000</v>
      </c>
      <c r="H144" s="18" t="s">
        <v>140</v>
      </c>
      <c r="I144" s="1"/>
      <c r="J144" s="56"/>
      <c r="K144" s="48"/>
      <c r="L144" s="48"/>
      <c r="M144" s="48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15">
      <c r="A145" s="1"/>
      <c r="B145" s="1"/>
      <c r="C145" s="1"/>
      <c r="D145" s="1"/>
      <c r="E145" s="1"/>
      <c r="F145" s="55">
        <v>1</v>
      </c>
      <c r="G145" s="22">
        <v>10100</v>
      </c>
      <c r="H145" s="23" t="s">
        <v>141</v>
      </c>
      <c r="I145" s="1"/>
      <c r="J145" s="56"/>
      <c r="K145" s="48"/>
      <c r="L145" s="48"/>
      <c r="M145" s="4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15">
      <c r="A146" s="1"/>
      <c r="B146" s="1"/>
      <c r="C146" s="1"/>
      <c r="D146" s="1"/>
      <c r="E146" s="1"/>
      <c r="F146" s="55">
        <v>1</v>
      </c>
      <c r="G146" s="22">
        <v>10300</v>
      </c>
      <c r="H146" s="23" t="s">
        <v>142</v>
      </c>
      <c r="I146" s="1"/>
      <c r="J146" s="56"/>
      <c r="K146" s="48"/>
      <c r="L146" s="48"/>
      <c r="M146" s="48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15">
      <c r="A147" s="1"/>
      <c r="B147" s="1"/>
      <c r="C147" s="1"/>
      <c r="D147" s="1"/>
      <c r="E147" s="1"/>
      <c r="F147" s="58">
        <v>2</v>
      </c>
      <c r="G147" s="17">
        <v>11000</v>
      </c>
      <c r="H147" s="18" t="s">
        <v>143</v>
      </c>
      <c r="I147" s="19"/>
      <c r="J147" s="89"/>
      <c r="K147" s="48"/>
      <c r="L147" s="48"/>
      <c r="M147" s="4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15">
      <c r="A148" s="1"/>
      <c r="B148" s="1"/>
      <c r="C148" s="1"/>
      <c r="D148" s="1"/>
      <c r="E148" s="1"/>
      <c r="F148" s="58"/>
      <c r="G148" s="17">
        <v>13000</v>
      </c>
      <c r="H148" s="18" t="s">
        <v>144</v>
      </c>
      <c r="I148" s="19"/>
      <c r="J148" s="56"/>
      <c r="K148" s="48"/>
      <c r="L148" s="48"/>
      <c r="M148" s="4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15">
      <c r="A149" s="1"/>
      <c r="B149" s="1"/>
      <c r="C149" s="1"/>
      <c r="D149" s="1"/>
      <c r="E149" s="1"/>
      <c r="F149" s="55">
        <v>2</v>
      </c>
      <c r="G149" s="22">
        <v>13100</v>
      </c>
      <c r="H149" s="23" t="s">
        <v>145</v>
      </c>
      <c r="I149" s="1"/>
      <c r="J149" s="56"/>
      <c r="K149" s="48"/>
      <c r="L149" s="48"/>
      <c r="M149" s="4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15">
      <c r="A150" s="1"/>
      <c r="B150" s="1"/>
      <c r="C150" s="1"/>
      <c r="D150" s="1"/>
      <c r="E150" s="1"/>
      <c r="F150" s="55">
        <v>6</v>
      </c>
      <c r="G150" s="22">
        <v>13200</v>
      </c>
      <c r="H150" s="23" t="s">
        <v>146</v>
      </c>
      <c r="I150" s="1"/>
      <c r="J150" s="56"/>
      <c r="K150" s="48"/>
      <c r="L150" s="48"/>
      <c r="M150" s="48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15">
      <c r="A151" s="1"/>
      <c r="B151" s="1"/>
      <c r="C151" s="1"/>
      <c r="D151" s="1"/>
      <c r="E151" s="1"/>
      <c r="F151" s="55"/>
      <c r="G151" s="17">
        <v>14000</v>
      </c>
      <c r="H151" s="18" t="s">
        <v>147</v>
      </c>
      <c r="I151" s="1"/>
      <c r="J151" s="56"/>
      <c r="K151" s="48"/>
      <c r="L151" s="48"/>
      <c r="M151" s="48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15">
      <c r="A152" s="1"/>
      <c r="B152" s="1"/>
      <c r="C152" s="1"/>
      <c r="D152" s="1"/>
      <c r="E152" s="1"/>
      <c r="F152" s="55">
        <v>3</v>
      </c>
      <c r="G152" s="22">
        <v>14100</v>
      </c>
      <c r="H152" s="23" t="s">
        <v>148</v>
      </c>
      <c r="I152" s="1"/>
      <c r="J152" s="56"/>
      <c r="K152" s="48"/>
      <c r="L152" s="48"/>
      <c r="M152" s="48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15">
      <c r="A153" s="1"/>
      <c r="B153" s="1"/>
      <c r="C153" s="1"/>
      <c r="D153" s="1"/>
      <c r="E153" s="1"/>
      <c r="F153" s="55">
        <v>3</v>
      </c>
      <c r="G153" s="22">
        <v>14200</v>
      </c>
      <c r="H153" s="23" t="s">
        <v>149</v>
      </c>
      <c r="I153" s="1"/>
      <c r="J153" s="56"/>
      <c r="K153" s="48"/>
      <c r="L153" s="48"/>
      <c r="M153" s="48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15">
      <c r="A154" s="1"/>
      <c r="B154" s="1"/>
      <c r="C154" s="1"/>
      <c r="D154" s="1"/>
      <c r="E154" s="1"/>
      <c r="F154" s="58"/>
      <c r="G154" s="17">
        <v>15000</v>
      </c>
      <c r="H154" s="60" t="s">
        <v>150</v>
      </c>
      <c r="I154" s="61"/>
      <c r="J154" s="56"/>
      <c r="K154" s="48"/>
      <c r="L154" s="48"/>
      <c r="M154" s="48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15">
      <c r="A155" s="1"/>
      <c r="B155" s="1"/>
      <c r="C155" s="1"/>
      <c r="D155" s="1"/>
      <c r="E155" s="1"/>
      <c r="F155" s="55"/>
      <c r="G155" s="22">
        <v>15100</v>
      </c>
      <c r="H155" s="23" t="s">
        <v>151</v>
      </c>
      <c r="I155" s="1"/>
      <c r="J155" s="56"/>
      <c r="K155" s="48"/>
      <c r="L155" s="48"/>
      <c r="M155" s="48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15">
      <c r="A156" s="1"/>
      <c r="B156" s="1"/>
      <c r="C156" s="1"/>
      <c r="D156" s="1"/>
      <c r="E156" s="1"/>
      <c r="F156" s="55">
        <v>7</v>
      </c>
      <c r="G156" s="22">
        <v>15400</v>
      </c>
      <c r="H156" s="23" t="s">
        <v>152</v>
      </c>
      <c r="I156" s="1"/>
      <c r="J156" s="56"/>
      <c r="K156" s="48"/>
      <c r="L156" s="48"/>
      <c r="M156" s="48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15">
      <c r="A157" s="1"/>
      <c r="B157" s="1"/>
      <c r="C157" s="1"/>
      <c r="D157" s="1"/>
      <c r="E157" s="1"/>
      <c r="F157" s="58"/>
      <c r="G157" s="17">
        <v>16000</v>
      </c>
      <c r="H157" s="18" t="s">
        <v>153</v>
      </c>
      <c r="I157" s="19"/>
      <c r="J157" s="56"/>
      <c r="K157" s="48"/>
      <c r="L157" s="48"/>
      <c r="M157" s="48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15">
      <c r="A158" s="1"/>
      <c r="B158" s="1"/>
      <c r="C158" s="1"/>
      <c r="D158" s="1"/>
      <c r="E158" s="1"/>
      <c r="F158" s="55">
        <v>9</v>
      </c>
      <c r="G158" s="22">
        <v>16100</v>
      </c>
      <c r="H158" s="23" t="s">
        <v>154</v>
      </c>
      <c r="I158" s="1"/>
      <c r="J158" s="56"/>
      <c r="K158" s="48"/>
      <c r="L158" s="48"/>
      <c r="M158" s="48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15">
      <c r="A159" s="1"/>
      <c r="B159" s="1"/>
      <c r="C159" s="1"/>
      <c r="D159" s="1"/>
      <c r="E159" s="1"/>
      <c r="F159" s="55">
        <v>9</v>
      </c>
      <c r="G159" s="22">
        <v>16200</v>
      </c>
      <c r="H159" s="23" t="s">
        <v>155</v>
      </c>
      <c r="I159" s="1"/>
      <c r="J159" s="56"/>
      <c r="K159" s="48"/>
      <c r="L159" s="48"/>
      <c r="M159" s="4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15">
      <c r="A160" s="1"/>
      <c r="B160" s="1"/>
      <c r="C160" s="1"/>
      <c r="D160" s="1"/>
      <c r="E160" s="1"/>
      <c r="F160" s="55">
        <v>8</v>
      </c>
      <c r="G160" s="22">
        <v>16250</v>
      </c>
      <c r="H160" s="23" t="s">
        <v>156</v>
      </c>
      <c r="I160" s="1"/>
      <c r="J160" s="56"/>
      <c r="K160" s="48"/>
      <c r="L160" s="48"/>
      <c r="M160" s="48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15">
      <c r="A161" s="1"/>
      <c r="B161" s="1"/>
      <c r="C161" s="1"/>
      <c r="D161" s="1"/>
      <c r="E161" s="1"/>
      <c r="F161" s="55">
        <v>10</v>
      </c>
      <c r="G161" s="22">
        <v>16300</v>
      </c>
      <c r="H161" s="23" t="s">
        <v>157</v>
      </c>
      <c r="I161" s="1"/>
      <c r="J161" s="56"/>
      <c r="K161" s="48"/>
      <c r="L161" s="48"/>
      <c r="M161" s="48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15">
      <c r="A162" s="1"/>
      <c r="B162" s="1"/>
      <c r="C162" s="1"/>
      <c r="D162" s="1"/>
      <c r="E162" s="1"/>
      <c r="F162" s="55">
        <v>8</v>
      </c>
      <c r="G162" s="22">
        <v>16350</v>
      </c>
      <c r="H162" s="62" t="s">
        <v>158</v>
      </c>
      <c r="I162" s="1"/>
      <c r="J162" s="56"/>
      <c r="K162" s="48"/>
      <c r="L162" s="48"/>
      <c r="M162" s="48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15">
      <c r="A163" s="1"/>
      <c r="B163" s="1"/>
      <c r="C163" s="1"/>
      <c r="D163" s="1"/>
      <c r="E163" s="1"/>
      <c r="F163" s="55">
        <v>10</v>
      </c>
      <c r="G163" s="22">
        <v>16400</v>
      </c>
      <c r="H163" s="23" t="s">
        <v>159</v>
      </c>
      <c r="I163" s="1"/>
      <c r="J163" s="56"/>
      <c r="K163" s="48"/>
      <c r="L163" s="48"/>
      <c r="M163" s="4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15">
      <c r="A164" s="1"/>
      <c r="B164" s="1"/>
      <c r="C164" s="1"/>
      <c r="D164" s="1"/>
      <c r="E164" s="1"/>
      <c r="F164" s="55">
        <v>8</v>
      </c>
      <c r="G164" s="22">
        <v>16450</v>
      </c>
      <c r="H164" s="62" t="s">
        <v>160</v>
      </c>
      <c r="I164" s="1"/>
      <c r="J164" s="56"/>
      <c r="K164" s="48"/>
      <c r="L164" s="48"/>
      <c r="M164" s="48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15">
      <c r="A165" s="1"/>
      <c r="B165" s="1"/>
      <c r="C165" s="1"/>
      <c r="D165" s="1"/>
      <c r="E165" s="1"/>
      <c r="F165" s="55">
        <v>10</v>
      </c>
      <c r="G165" s="22">
        <v>16500</v>
      </c>
      <c r="H165" s="23" t="s">
        <v>161</v>
      </c>
      <c r="I165" s="1"/>
      <c r="J165" s="56"/>
      <c r="K165" s="48"/>
      <c r="L165" s="48"/>
      <c r="M165" s="48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15">
      <c r="A166" s="1"/>
      <c r="B166" s="1"/>
      <c r="C166" s="1"/>
      <c r="D166" s="1"/>
      <c r="E166" s="1"/>
      <c r="F166" s="55">
        <v>8</v>
      </c>
      <c r="G166" s="22">
        <v>16550</v>
      </c>
      <c r="H166" s="62" t="s">
        <v>162</v>
      </c>
      <c r="I166" s="1"/>
      <c r="J166" s="56"/>
      <c r="K166" s="48"/>
      <c r="L166" s="48"/>
      <c r="M166" s="48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15">
      <c r="A167" s="1"/>
      <c r="B167" s="1"/>
      <c r="C167" s="1"/>
      <c r="D167" s="1"/>
      <c r="E167" s="1"/>
      <c r="F167" s="55">
        <v>10</v>
      </c>
      <c r="G167" s="22">
        <v>16600</v>
      </c>
      <c r="H167" s="23" t="s">
        <v>163</v>
      </c>
      <c r="I167" s="1"/>
      <c r="J167" s="56"/>
      <c r="K167" s="48"/>
      <c r="L167" s="48"/>
      <c r="M167" s="48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15">
      <c r="A168" s="1"/>
      <c r="B168" s="1"/>
      <c r="C168" s="1"/>
      <c r="D168" s="1"/>
      <c r="E168" s="1"/>
      <c r="F168" s="55">
        <v>8</v>
      </c>
      <c r="G168" s="22">
        <v>16650</v>
      </c>
      <c r="H168" s="62" t="s">
        <v>164</v>
      </c>
      <c r="I168" s="1"/>
      <c r="J168" s="56"/>
      <c r="K168" s="48"/>
      <c r="L168" s="48"/>
      <c r="M168" s="48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15">
      <c r="A169" s="1"/>
      <c r="B169" s="1"/>
      <c r="C169" s="1"/>
      <c r="D169" s="1"/>
      <c r="E169" s="1"/>
      <c r="F169" s="55">
        <v>10</v>
      </c>
      <c r="G169" s="22">
        <v>16700</v>
      </c>
      <c r="H169" s="23" t="s">
        <v>165</v>
      </c>
      <c r="I169" s="1"/>
      <c r="J169" s="56"/>
      <c r="K169" s="48"/>
      <c r="L169" s="48"/>
      <c r="M169" s="48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15">
      <c r="A170" s="1"/>
      <c r="B170" s="1"/>
      <c r="C170" s="1"/>
      <c r="D170" s="1"/>
      <c r="E170" s="1"/>
      <c r="F170" s="55"/>
      <c r="G170" s="22"/>
      <c r="H170" s="18" t="s">
        <v>166</v>
      </c>
      <c r="I170" s="1"/>
      <c r="J170" s="56">
        <f>J145+J146+J147+J149+J150+J152+J153+J155+J156+J158+J159-J160+J161-J162+J163-J164+J165-J166+J167-J168+J169</f>
        <v>0</v>
      </c>
      <c r="K170" s="48"/>
      <c r="L170" s="48"/>
      <c r="M170" s="48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15">
      <c r="A171" s="1"/>
      <c r="B171" s="1"/>
      <c r="C171" s="1"/>
      <c r="D171" s="1"/>
      <c r="E171" s="1"/>
      <c r="F171" s="55"/>
      <c r="G171" s="22"/>
      <c r="H171" s="23"/>
      <c r="I171" s="1"/>
      <c r="J171" s="56"/>
      <c r="K171" s="48"/>
      <c r="L171" s="48"/>
      <c r="M171" s="48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15">
      <c r="A172" s="1"/>
      <c r="B172" s="1"/>
      <c r="C172" s="1"/>
      <c r="D172" s="1"/>
      <c r="E172" s="1"/>
      <c r="F172" s="55"/>
      <c r="G172" s="63" t="s">
        <v>167</v>
      </c>
      <c r="H172" s="23"/>
      <c r="I172" s="1"/>
      <c r="J172" s="56"/>
      <c r="K172" s="48"/>
      <c r="L172" s="48"/>
      <c r="M172" s="48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15">
      <c r="A173" s="1"/>
      <c r="B173" s="1"/>
      <c r="C173" s="1"/>
      <c r="D173" s="1"/>
      <c r="E173" s="1"/>
      <c r="F173" s="55"/>
      <c r="G173" s="17">
        <v>20000</v>
      </c>
      <c r="H173" s="18" t="s">
        <v>168</v>
      </c>
      <c r="I173" s="1"/>
      <c r="J173" s="56"/>
      <c r="K173" s="48"/>
      <c r="L173" s="48"/>
      <c r="M173" s="48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15">
      <c r="A174" s="1"/>
      <c r="B174" s="1"/>
      <c r="C174" s="1"/>
      <c r="D174" s="1"/>
      <c r="E174" s="1"/>
      <c r="F174" s="55">
        <v>12</v>
      </c>
      <c r="G174" s="22">
        <v>20100</v>
      </c>
      <c r="H174" s="23" t="s">
        <v>169</v>
      </c>
      <c r="I174" s="1"/>
      <c r="J174" s="56"/>
      <c r="K174" s="48"/>
      <c r="L174" s="48"/>
      <c r="M174" s="48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15">
      <c r="A175" s="1"/>
      <c r="B175" s="1"/>
      <c r="C175" s="1"/>
      <c r="D175" s="1"/>
      <c r="E175" s="1"/>
      <c r="F175" s="55"/>
      <c r="G175" s="17">
        <v>21000</v>
      </c>
      <c r="H175" s="18" t="s">
        <v>170</v>
      </c>
      <c r="I175" s="1"/>
      <c r="J175" s="56"/>
      <c r="K175" s="48"/>
      <c r="L175" s="48"/>
      <c r="M175" s="48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15">
      <c r="A176" s="1"/>
      <c r="B176" s="1"/>
      <c r="C176" s="1"/>
      <c r="D176" s="1"/>
      <c r="E176" s="1"/>
      <c r="F176" s="55">
        <v>15</v>
      </c>
      <c r="G176" s="22">
        <v>21100</v>
      </c>
      <c r="H176" s="23" t="s">
        <v>171</v>
      </c>
      <c r="I176" s="1"/>
      <c r="J176" s="56"/>
      <c r="K176" s="48"/>
      <c r="L176" s="48"/>
      <c r="M176" s="48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15">
      <c r="A177" s="1"/>
      <c r="B177" s="1"/>
      <c r="C177" s="1"/>
      <c r="D177" s="1"/>
      <c r="E177" s="1"/>
      <c r="F177" s="55">
        <v>15</v>
      </c>
      <c r="G177" s="22">
        <v>21200</v>
      </c>
      <c r="H177" s="23" t="s">
        <v>172</v>
      </c>
      <c r="I177" s="1"/>
      <c r="J177" s="56"/>
      <c r="K177" s="48"/>
      <c r="L177" s="48"/>
      <c r="M177" s="48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15">
      <c r="A178" s="1"/>
      <c r="B178" s="1"/>
      <c r="C178" s="1"/>
      <c r="D178" s="1"/>
      <c r="E178" s="1"/>
      <c r="F178" s="55">
        <v>15</v>
      </c>
      <c r="G178" s="22">
        <v>21300</v>
      </c>
      <c r="H178" s="23" t="s">
        <v>173</v>
      </c>
      <c r="I178" s="1"/>
      <c r="J178" s="56"/>
      <c r="K178" s="48"/>
      <c r="L178" s="48"/>
      <c r="M178" s="48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15">
      <c r="A179" s="1"/>
      <c r="B179" s="1"/>
      <c r="C179" s="1"/>
      <c r="D179" s="1"/>
      <c r="E179" s="1"/>
      <c r="F179" s="55">
        <v>15</v>
      </c>
      <c r="G179" s="22">
        <v>21400</v>
      </c>
      <c r="H179" s="23" t="s">
        <v>174</v>
      </c>
      <c r="I179" s="1"/>
      <c r="J179" s="56"/>
      <c r="K179" s="48"/>
      <c r="L179" s="48"/>
      <c r="M179" s="4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15">
      <c r="A180" s="1"/>
      <c r="B180" s="1"/>
      <c r="C180" s="1"/>
      <c r="D180" s="1"/>
      <c r="E180" s="1"/>
      <c r="F180" s="55">
        <v>15</v>
      </c>
      <c r="G180" s="22">
        <v>21500</v>
      </c>
      <c r="H180" s="23" t="s">
        <v>175</v>
      </c>
      <c r="I180" s="1"/>
      <c r="J180" s="56"/>
      <c r="K180" s="48"/>
      <c r="L180" s="48"/>
      <c r="M180" s="4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15">
      <c r="A181" s="1"/>
      <c r="B181" s="1"/>
      <c r="C181" s="1"/>
      <c r="D181" s="1"/>
      <c r="E181" s="1"/>
      <c r="F181" s="58"/>
      <c r="G181" s="17">
        <v>24000</v>
      </c>
      <c r="H181" s="18" t="s">
        <v>176</v>
      </c>
      <c r="I181" s="19"/>
      <c r="J181" s="56"/>
      <c r="K181" s="48"/>
      <c r="L181" s="48"/>
      <c r="M181" s="48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15">
      <c r="A182" s="1"/>
      <c r="B182" s="1"/>
      <c r="C182" s="1"/>
      <c r="D182" s="1"/>
      <c r="E182" s="1"/>
      <c r="F182" s="55">
        <v>15</v>
      </c>
      <c r="G182" s="22">
        <v>24100</v>
      </c>
      <c r="H182" s="23" t="s">
        <v>177</v>
      </c>
      <c r="I182" s="1"/>
      <c r="J182" s="56"/>
      <c r="K182" s="48"/>
      <c r="L182" s="48"/>
      <c r="M182" s="48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15">
      <c r="A183" s="1"/>
      <c r="B183" s="1"/>
      <c r="C183" s="1"/>
      <c r="D183" s="1"/>
      <c r="E183" s="1"/>
      <c r="F183" s="55">
        <v>15</v>
      </c>
      <c r="G183" s="22">
        <v>24400</v>
      </c>
      <c r="H183" s="23" t="s">
        <v>178</v>
      </c>
      <c r="I183" s="1"/>
      <c r="J183" s="56"/>
      <c r="K183" s="48"/>
      <c r="L183" s="48"/>
      <c r="M183" s="48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15">
      <c r="A184" s="1"/>
      <c r="B184" s="1"/>
      <c r="C184" s="1"/>
      <c r="D184" s="1"/>
      <c r="E184" s="1"/>
      <c r="F184" s="58"/>
      <c r="G184" s="17">
        <v>25000</v>
      </c>
      <c r="H184" s="18" t="s">
        <v>179</v>
      </c>
      <c r="I184" s="19"/>
      <c r="J184" s="56"/>
      <c r="K184" s="48"/>
      <c r="L184" s="48"/>
      <c r="M184" s="48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15">
      <c r="A185" s="1"/>
      <c r="B185" s="1"/>
      <c r="C185" s="1"/>
      <c r="D185" s="1"/>
      <c r="E185" s="1"/>
      <c r="F185" s="55">
        <v>15</v>
      </c>
      <c r="G185" s="22">
        <v>25100</v>
      </c>
      <c r="H185" s="23" t="s">
        <v>180</v>
      </c>
      <c r="I185" s="1"/>
      <c r="J185" s="56"/>
      <c r="K185" s="48"/>
      <c r="L185" s="48"/>
      <c r="M185" s="48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15">
      <c r="A186" s="1"/>
      <c r="B186" s="1"/>
      <c r="C186" s="1"/>
      <c r="D186" s="1"/>
      <c r="E186" s="1"/>
      <c r="F186" s="55">
        <v>14</v>
      </c>
      <c r="G186" s="22">
        <v>25300</v>
      </c>
      <c r="H186" s="23" t="s">
        <v>181</v>
      </c>
      <c r="I186" s="1"/>
      <c r="J186" s="56"/>
      <c r="K186" s="48"/>
      <c r="L186" s="48"/>
      <c r="M186" s="48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15">
      <c r="A187" s="1"/>
      <c r="B187" s="1"/>
      <c r="C187" s="1"/>
      <c r="D187" s="1"/>
      <c r="E187" s="1"/>
      <c r="F187" s="55">
        <v>15</v>
      </c>
      <c r="G187" s="22">
        <v>25400</v>
      </c>
      <c r="H187" s="23" t="s">
        <v>182</v>
      </c>
      <c r="I187" s="1"/>
      <c r="J187" s="56"/>
      <c r="K187" s="48"/>
      <c r="L187" s="48"/>
      <c r="M187" s="48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15">
      <c r="A188" s="1"/>
      <c r="B188" s="1"/>
      <c r="C188" s="1"/>
      <c r="D188" s="1"/>
      <c r="E188" s="1"/>
      <c r="F188" s="55">
        <v>15</v>
      </c>
      <c r="G188" s="22">
        <v>25500</v>
      </c>
      <c r="H188" s="23" t="s">
        <v>183</v>
      </c>
      <c r="I188" s="1"/>
      <c r="J188" s="56"/>
      <c r="K188" s="48"/>
      <c r="L188" s="48"/>
      <c r="M188" s="48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15">
      <c r="A189" s="1"/>
      <c r="B189" s="1"/>
      <c r="C189" s="1"/>
      <c r="D189" s="1"/>
      <c r="E189" s="1"/>
      <c r="F189" s="55"/>
      <c r="G189" s="22"/>
      <c r="H189" s="18" t="s">
        <v>184</v>
      </c>
      <c r="I189" s="1"/>
      <c r="J189" s="56">
        <f>SUM(J173:J188)</f>
        <v>0</v>
      </c>
      <c r="K189" s="48"/>
      <c r="L189" s="48"/>
      <c r="M189" s="48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15">
      <c r="A190" s="1"/>
      <c r="B190" s="1"/>
      <c r="C190" s="1"/>
      <c r="D190" s="1"/>
      <c r="E190" s="1"/>
      <c r="F190" s="55"/>
      <c r="G190" s="22"/>
      <c r="H190" s="23"/>
      <c r="I190" s="1"/>
      <c r="J190" s="56"/>
      <c r="K190" s="48"/>
      <c r="L190" s="48"/>
      <c r="M190" s="48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15">
      <c r="A191" s="1"/>
      <c r="B191" s="1"/>
      <c r="C191" s="1"/>
      <c r="D191" s="1"/>
      <c r="E191" s="1"/>
      <c r="F191" s="55"/>
      <c r="G191" s="64" t="s">
        <v>185</v>
      </c>
      <c r="H191" s="23"/>
      <c r="I191" s="1"/>
      <c r="J191" s="56"/>
      <c r="K191" s="48"/>
      <c r="L191" s="48"/>
      <c r="M191" s="48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15">
      <c r="A192" s="1"/>
      <c r="B192" s="1"/>
      <c r="C192" s="1"/>
      <c r="D192" s="1"/>
      <c r="E192" s="1"/>
      <c r="F192" s="55"/>
      <c r="G192" s="22"/>
      <c r="H192" s="23"/>
      <c r="I192" s="1"/>
      <c r="J192" s="56"/>
      <c r="K192" s="48"/>
      <c r="L192" s="48"/>
      <c r="M192" s="4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15">
      <c r="A193" s="1"/>
      <c r="B193" s="1"/>
      <c r="C193" s="1"/>
      <c r="D193" s="1"/>
      <c r="E193" s="1"/>
      <c r="F193" s="55"/>
      <c r="G193" s="17">
        <v>30000</v>
      </c>
      <c r="H193" s="18" t="s">
        <v>186</v>
      </c>
      <c r="I193" s="1"/>
      <c r="J193" s="56"/>
      <c r="K193" s="48"/>
      <c r="L193" s="48"/>
      <c r="M193" s="48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15">
      <c r="A194" s="1"/>
      <c r="B194" s="1"/>
      <c r="C194" s="1"/>
      <c r="D194" s="1"/>
      <c r="E194" s="1"/>
      <c r="F194" s="55"/>
      <c r="G194" s="22">
        <v>30100</v>
      </c>
      <c r="H194" s="23" t="s">
        <v>186</v>
      </c>
      <c r="I194" s="1"/>
      <c r="J194" s="90">
        <f>J170-J189</f>
        <v>0</v>
      </c>
      <c r="K194" s="48"/>
      <c r="L194" s="48"/>
      <c r="M194" s="48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15">
      <c r="A195" s="1"/>
      <c r="B195" s="1"/>
      <c r="C195" s="1"/>
      <c r="D195" s="1"/>
      <c r="E195" s="1"/>
      <c r="F195" s="55"/>
      <c r="G195" s="22">
        <v>30200</v>
      </c>
      <c r="H195" s="23" t="s">
        <v>187</v>
      </c>
      <c r="I195" s="1"/>
      <c r="J195" s="56"/>
      <c r="K195" s="48"/>
      <c r="L195" s="48"/>
      <c r="M195" s="48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15">
      <c r="A196" s="1"/>
      <c r="B196" s="1"/>
      <c r="C196" s="1"/>
      <c r="D196" s="1"/>
      <c r="E196" s="1"/>
      <c r="F196" s="55"/>
      <c r="G196" s="22">
        <v>30300</v>
      </c>
      <c r="H196" s="23" t="s">
        <v>188</v>
      </c>
      <c r="I196" s="1"/>
      <c r="J196" s="56"/>
      <c r="K196" s="48"/>
      <c r="L196" s="48"/>
      <c r="M196" s="4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15">
      <c r="A197" s="1"/>
      <c r="B197" s="1"/>
      <c r="C197" s="1"/>
      <c r="D197" s="1"/>
      <c r="E197" s="1"/>
      <c r="F197" s="55"/>
      <c r="G197" s="22">
        <v>30400</v>
      </c>
      <c r="H197" s="23" t="s">
        <v>189</v>
      </c>
      <c r="I197" s="1"/>
      <c r="J197" s="56"/>
      <c r="K197" s="48"/>
      <c r="L197" s="48"/>
      <c r="M197" s="48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15">
      <c r="A198" s="1"/>
      <c r="B198" s="1"/>
      <c r="C198" s="1"/>
      <c r="D198" s="1"/>
      <c r="E198" s="1"/>
      <c r="F198" s="55"/>
      <c r="G198" s="22"/>
      <c r="H198" s="23"/>
      <c r="I198" s="1"/>
      <c r="J198" s="56"/>
      <c r="K198" s="48"/>
      <c r="L198" s="48"/>
      <c r="M198" s="48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15">
      <c r="A199" s="1"/>
      <c r="B199" s="1"/>
      <c r="C199" s="1"/>
      <c r="D199" s="1"/>
      <c r="E199" s="1"/>
      <c r="F199" s="55"/>
      <c r="G199" s="17">
        <v>31000</v>
      </c>
      <c r="H199" s="18" t="s">
        <v>190</v>
      </c>
      <c r="I199" s="1"/>
      <c r="J199" s="56"/>
      <c r="K199" s="48"/>
      <c r="L199" s="48"/>
      <c r="M199" s="48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15">
      <c r="A200" s="1"/>
      <c r="B200" s="1"/>
      <c r="C200" s="1"/>
      <c r="D200" s="1"/>
      <c r="E200" s="1"/>
      <c r="F200" s="55"/>
      <c r="G200" s="22">
        <v>31100</v>
      </c>
      <c r="H200" s="23" t="s">
        <v>191</v>
      </c>
      <c r="I200" s="1"/>
      <c r="J200" s="56"/>
      <c r="K200" s="48"/>
      <c r="L200" s="48"/>
      <c r="M200" s="48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15">
      <c r="A201" s="1"/>
      <c r="B201" s="1"/>
      <c r="C201" s="1"/>
      <c r="D201" s="1"/>
      <c r="E201" s="1"/>
      <c r="F201" s="55"/>
      <c r="G201" s="22">
        <v>31200</v>
      </c>
      <c r="H201" s="23" t="s">
        <v>192</v>
      </c>
      <c r="I201" s="1"/>
      <c r="J201" s="56"/>
      <c r="K201" s="48"/>
      <c r="L201" s="48"/>
      <c r="M201" s="48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15">
      <c r="A202" s="1"/>
      <c r="B202" s="1"/>
      <c r="C202" s="1"/>
      <c r="D202" s="1"/>
      <c r="E202" s="1"/>
      <c r="F202" s="55"/>
      <c r="G202" s="22"/>
      <c r="H202" s="23"/>
      <c r="I202" s="1"/>
      <c r="J202" s="56"/>
      <c r="K202" s="48"/>
      <c r="L202" s="48"/>
      <c r="M202" s="48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15">
      <c r="A203" s="1"/>
      <c r="B203" s="1"/>
      <c r="C203" s="1"/>
      <c r="D203" s="1"/>
      <c r="E203" s="1"/>
      <c r="F203" s="55"/>
      <c r="G203" s="17">
        <v>32000</v>
      </c>
      <c r="H203" s="18" t="s">
        <v>193</v>
      </c>
      <c r="I203" s="1"/>
      <c r="J203" s="56"/>
      <c r="K203" s="48"/>
      <c r="L203" s="48"/>
      <c r="M203" s="48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15">
      <c r="A204" s="1"/>
      <c r="B204" s="1"/>
      <c r="C204" s="1"/>
      <c r="D204" s="1"/>
      <c r="E204" s="1"/>
      <c r="F204" s="55"/>
      <c r="G204" s="66">
        <v>32100</v>
      </c>
      <c r="H204" s="22" t="s">
        <v>194</v>
      </c>
      <c r="I204" s="1"/>
      <c r="J204" s="56"/>
      <c r="K204" s="48"/>
      <c r="L204" s="48"/>
      <c r="M204" s="48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15">
      <c r="A205" s="1"/>
      <c r="B205" s="1"/>
      <c r="C205" s="1"/>
      <c r="D205" s="1"/>
      <c r="E205" s="1"/>
      <c r="F205" s="67"/>
      <c r="G205" s="68"/>
      <c r="H205" s="63" t="s">
        <v>195</v>
      </c>
      <c r="I205" s="49"/>
      <c r="J205" s="56">
        <f>J189+SUM(J193:J204)</f>
        <v>0</v>
      </c>
      <c r="K205" s="48"/>
      <c r="L205" s="48"/>
      <c r="M205" s="48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1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1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1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1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1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1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1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1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1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1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1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1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1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1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1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1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1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1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1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1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1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1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1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1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1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1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1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1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1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1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1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1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1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1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1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1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1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1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1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1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1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1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1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1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1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1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1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1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1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1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1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1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1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1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1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1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1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1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1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1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1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1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1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1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1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1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1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1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1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1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1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1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1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1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1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1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1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1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1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1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1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1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1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1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1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1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1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1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1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1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1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1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1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1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1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1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1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1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1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1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1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1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1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1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1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1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1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1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1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1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1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1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1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1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1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1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1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1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1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1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1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1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1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1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1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1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1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1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1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1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1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1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1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1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1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1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1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1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1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1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1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1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1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1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1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1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1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1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1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1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1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1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1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1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1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1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1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1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1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1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1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1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1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1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1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1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1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1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1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1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1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1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1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1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1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1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1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1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1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1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1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1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1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1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1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1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1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1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1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1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1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1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1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1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1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1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1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1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1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1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1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1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1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1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1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1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1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1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1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1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1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1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1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1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1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1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1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1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1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1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1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1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1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1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1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1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1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1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1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1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1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1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1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1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1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1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1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1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1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1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1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1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1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1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1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1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1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1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1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1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1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1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1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1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1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1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1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1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1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1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1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1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1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1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1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1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1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1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1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1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1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1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1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1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1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1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1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1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1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1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1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1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1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1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1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1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1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1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1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1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1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1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1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1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1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1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1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1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1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1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1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1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1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1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1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1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1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1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1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1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1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1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1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1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1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1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1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1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1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1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1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1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1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1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1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1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1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1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1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1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1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1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1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1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1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1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1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1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1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1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1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1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1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1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1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1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1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1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1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1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1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1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1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1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1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1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1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1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1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1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1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1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1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1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1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1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1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1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1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1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1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1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1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1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1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1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1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1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1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1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1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1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1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1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1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1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1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1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1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1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1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1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1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1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1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1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1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1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1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1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1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1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1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1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1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1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1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1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1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1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1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1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1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1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1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1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1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1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1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1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1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1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1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1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1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1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1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1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1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1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1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1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1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1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1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1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1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1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1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1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1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1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1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1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1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1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1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1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1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1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1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1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1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1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1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1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1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1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1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1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1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1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1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1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1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1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1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1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1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1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1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1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1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1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1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1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1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1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1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1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1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1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1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1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1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1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1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1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1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1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1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1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1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1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1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1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1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1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1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1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1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1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1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1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1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1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1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1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1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1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1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1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1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1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1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1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1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1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1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1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1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1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1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1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1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1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1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1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1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1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1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1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1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1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1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1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1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1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1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1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1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1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1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1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1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1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1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1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1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1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1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1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1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1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1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1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1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1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1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1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1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1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1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1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1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1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1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1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1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1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1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1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1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1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1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1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1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1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1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1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1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1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1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1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1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1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1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1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1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1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1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1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1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1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1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1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1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1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1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1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1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1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1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1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1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1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1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1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1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1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1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1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1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1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1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1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1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1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1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1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1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1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1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1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1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1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1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1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1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1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1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1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1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1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1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1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1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1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1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1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1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1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1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1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1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1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1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1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1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1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1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1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1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1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1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1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1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1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1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1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1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1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1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1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1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1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1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1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1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1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1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1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1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1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1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1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1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1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1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1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1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1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1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1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1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1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1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1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1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1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1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1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1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1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1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1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1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1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1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1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1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1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1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1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1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1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1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1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1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1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1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1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1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1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1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1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1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1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1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1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1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1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1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1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1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1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1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1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1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1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1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1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1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1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1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1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1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1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1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1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1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1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1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1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1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1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1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1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1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1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1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1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1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1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1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1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1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1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1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1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1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1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1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1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1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1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1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1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1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1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1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1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1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1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1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1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1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1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1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1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1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1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1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1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ageMargins left="0.25" right="0.25" top="1.5" bottom="0.5" header="0" footer="0"/>
  <pageSetup scale="88" orientation="portrait"/>
  <headerFooter>
    <oddHeader>&amp;C FORM 1023, PART IX, PAGE 13 14 FINANCIAL DATA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baseColWidth="10" defaultColWidth="12.6640625" defaultRowHeight="15" customHeight="1" x14ac:dyDescent="0.15"/>
  <cols>
    <col min="1" max="1" width="13.33203125" customWidth="1"/>
    <col min="2" max="2" width="14.33203125" customWidth="1"/>
    <col min="3" max="26" width="8.6640625" customWidth="1"/>
  </cols>
  <sheetData>
    <row r="1" spans="1:2" ht="12" customHeight="1" x14ac:dyDescent="0.15">
      <c r="A1" s="39" t="s">
        <v>218</v>
      </c>
      <c r="B1" s="39" t="s">
        <v>219</v>
      </c>
    </row>
    <row r="2" spans="1:2" ht="12" customHeight="1" x14ac:dyDescent="0.15"/>
    <row r="3" spans="1:2" ht="12" customHeight="1" x14ac:dyDescent="0.15"/>
    <row r="4" spans="1:2" ht="12" customHeight="1" x14ac:dyDescent="0.15"/>
    <row r="5" spans="1:2" ht="12" customHeight="1" x14ac:dyDescent="0.15"/>
    <row r="6" spans="1:2" ht="12" customHeight="1" x14ac:dyDescent="0.15"/>
    <row r="7" spans="1:2" ht="12" customHeight="1" x14ac:dyDescent="0.15"/>
    <row r="8" spans="1:2" ht="12" customHeight="1" x14ac:dyDescent="0.15"/>
    <row r="9" spans="1:2" ht="12" customHeight="1" x14ac:dyDescent="0.15"/>
    <row r="10" spans="1:2" ht="12" customHeight="1" x14ac:dyDescent="0.15"/>
    <row r="11" spans="1:2" ht="12" customHeight="1" x14ac:dyDescent="0.15"/>
    <row r="12" spans="1:2" ht="12" customHeight="1" x14ac:dyDescent="0.15"/>
    <row r="13" spans="1:2" ht="12" customHeight="1" x14ac:dyDescent="0.15"/>
    <row r="14" spans="1:2" ht="12" customHeight="1" x14ac:dyDescent="0.15"/>
    <row r="15" spans="1:2" ht="12" customHeight="1" x14ac:dyDescent="0.15"/>
    <row r="16" spans="1:2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Projections</vt:lpstr>
      <vt:lpstr>Salary Breakdown</vt:lpstr>
      <vt:lpstr>Financial Actuals</vt:lpstr>
      <vt:lpstr>Program Expense Itemize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Burcham</dc:creator>
  <cp:lastModifiedBy>Nicholas DiBella</cp:lastModifiedBy>
  <dcterms:created xsi:type="dcterms:W3CDTF">2009-03-14T06:04:10Z</dcterms:created>
  <dcterms:modified xsi:type="dcterms:W3CDTF">2025-09-25T22:53:27Z</dcterms:modified>
</cp:coreProperties>
</file>